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filterPrivacy="1" codeName="ThisWorkbook" defaultThemeVersion="124226"/>
  <xr:revisionPtr revIDLastSave="0" documentId="13_ncr:1_{87EC7FB1-82CE-4445-AF20-050CE4C1AD4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GENERADOR" sheetId="1" r:id="rId1"/>
    <sheet name="TABLA 50 PUNTOS" sheetId="2" r:id="rId2"/>
  </sheets>
  <definedNames>
    <definedName name="_xlnm.Print_Area" localSheetId="0">GENERADOR!$A$1:$AF$41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" i="1" l="1"/>
  <c r="I6" i="1" l="1"/>
  <c r="I7" i="1" l="1"/>
  <c r="AK9" i="1"/>
  <c r="AN9" i="1" s="1"/>
  <c r="AO9" i="1" l="1"/>
  <c r="I8" i="1"/>
  <c r="I9" i="1" s="1"/>
  <c r="AK10" i="1"/>
  <c r="AN10" i="1" s="1"/>
  <c r="AO10" i="1" l="1"/>
  <c r="I10" i="1"/>
  <c r="I11" i="1" s="1"/>
  <c r="AK11" i="1"/>
  <c r="AN11" i="1" s="1"/>
  <c r="AO11" i="1" l="1"/>
  <c r="I12" i="1"/>
  <c r="AK12" i="1"/>
  <c r="AN12" i="1" s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2" i="1"/>
  <c r="BV33" i="1"/>
  <c r="BV34" i="1"/>
  <c r="BV35" i="1"/>
  <c r="BV36" i="1"/>
  <c r="BV37" i="1"/>
  <c r="BV38" i="1"/>
  <c r="BV39" i="1"/>
  <c r="BV40" i="1"/>
  <c r="BV41" i="1"/>
  <c r="BV42" i="1"/>
  <c r="BV43" i="1"/>
  <c r="BV44" i="1"/>
  <c r="BV45" i="1"/>
  <c r="BV46" i="1"/>
  <c r="BV47" i="1"/>
  <c r="BV48" i="1"/>
  <c r="BV49" i="1"/>
  <c r="BV50" i="1"/>
  <c r="BV51" i="1"/>
  <c r="BV52" i="1"/>
  <c r="BV5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99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V121" i="1"/>
  <c r="BV122" i="1"/>
  <c r="BV123" i="1"/>
  <c r="BV124" i="1"/>
  <c r="BV125" i="1"/>
  <c r="BV126" i="1"/>
  <c r="BV127" i="1"/>
  <c r="BV128" i="1"/>
  <c r="BV129" i="1"/>
  <c r="BV130" i="1"/>
  <c r="BV131" i="1"/>
  <c r="BV132" i="1"/>
  <c r="BV133" i="1"/>
  <c r="BV134" i="1"/>
  <c r="BV135" i="1"/>
  <c r="BV136" i="1"/>
  <c r="BV137" i="1"/>
  <c r="BV138" i="1"/>
  <c r="BV139" i="1"/>
  <c r="BV140" i="1"/>
  <c r="BV141" i="1"/>
  <c r="BV142" i="1"/>
  <c r="BV143" i="1"/>
  <c r="BV144" i="1"/>
  <c r="BV145" i="1"/>
  <c r="BV146" i="1"/>
  <c r="BV147" i="1"/>
  <c r="BV148" i="1"/>
  <c r="BV149" i="1"/>
  <c r="BV150" i="1"/>
  <c r="BV151" i="1"/>
  <c r="BV152" i="1"/>
  <c r="BV153" i="1"/>
  <c r="BV154" i="1"/>
  <c r="BV155" i="1"/>
  <c r="BV156" i="1"/>
  <c r="BV157" i="1"/>
  <c r="BV158" i="1"/>
  <c r="BV159" i="1"/>
  <c r="BV160" i="1"/>
  <c r="BV161" i="1"/>
  <c r="BV162" i="1"/>
  <c r="BV163" i="1"/>
  <c r="BV164" i="1"/>
  <c r="BV165" i="1"/>
  <c r="BV166" i="1"/>
  <c r="BV167" i="1"/>
  <c r="BV168" i="1"/>
  <c r="BV169" i="1"/>
  <c r="BV170" i="1"/>
  <c r="BV171" i="1"/>
  <c r="BV172" i="1"/>
  <c r="BV173" i="1"/>
  <c r="BV174" i="1"/>
  <c r="BV175" i="1"/>
  <c r="BV176" i="1"/>
  <c r="BV177" i="1"/>
  <c r="BV178" i="1"/>
  <c r="BV179" i="1"/>
  <c r="BV180" i="1"/>
  <c r="BV181" i="1"/>
  <c r="BV182" i="1"/>
  <c r="BV183" i="1"/>
  <c r="BV184" i="1"/>
  <c r="BV185" i="1"/>
  <c r="BV186" i="1"/>
  <c r="BV187" i="1"/>
  <c r="BV188" i="1"/>
  <c r="BV189" i="1"/>
  <c r="BV190" i="1"/>
  <c r="BV191" i="1"/>
  <c r="BV192" i="1"/>
  <c r="BV193" i="1"/>
  <c r="BV194" i="1"/>
  <c r="BV195" i="1"/>
  <c r="BV196" i="1"/>
  <c r="BV197" i="1"/>
  <c r="BV198" i="1"/>
  <c r="BV199" i="1"/>
  <c r="BV200" i="1"/>
  <c r="BV201" i="1"/>
  <c r="BV202" i="1"/>
  <c r="BV203" i="1"/>
  <c r="BV204" i="1"/>
  <c r="BV205" i="1"/>
  <c r="BV206" i="1"/>
  <c r="BV207" i="1"/>
  <c r="BV208" i="1"/>
  <c r="BV209" i="1"/>
  <c r="BV210" i="1"/>
  <c r="BV211" i="1"/>
  <c r="BV212" i="1"/>
  <c r="BV213" i="1"/>
  <c r="BV214" i="1"/>
  <c r="BV215" i="1"/>
  <c r="BV216" i="1"/>
  <c r="BV217" i="1"/>
  <c r="BV218" i="1"/>
  <c r="BV219" i="1"/>
  <c r="BV220" i="1"/>
  <c r="BV221" i="1"/>
  <c r="BV222" i="1"/>
  <c r="BV223" i="1"/>
  <c r="BV224" i="1"/>
  <c r="BV225" i="1"/>
  <c r="BV226" i="1"/>
  <c r="BV227" i="1"/>
  <c r="BV228" i="1"/>
  <c r="BV229" i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78" i="1"/>
  <c r="BV279" i="1"/>
  <c r="BV280" i="1"/>
  <c r="BV281" i="1"/>
  <c r="BV282" i="1"/>
  <c r="BV283" i="1"/>
  <c r="BV284" i="1"/>
  <c r="BV285" i="1"/>
  <c r="BV286" i="1"/>
  <c r="BV287" i="1"/>
  <c r="BV288" i="1"/>
  <c r="BV289" i="1"/>
  <c r="BV290" i="1"/>
  <c r="BV291" i="1"/>
  <c r="BV292" i="1"/>
  <c r="BV293" i="1"/>
  <c r="BV294" i="1"/>
  <c r="BV295" i="1"/>
  <c r="BV296" i="1"/>
  <c r="BV297" i="1"/>
  <c r="BV298" i="1"/>
  <c r="BV299" i="1"/>
  <c r="BV300" i="1"/>
  <c r="BV301" i="1"/>
  <c r="BV302" i="1"/>
  <c r="BV303" i="1"/>
  <c r="BV304" i="1"/>
  <c r="BV305" i="1"/>
  <c r="BV306" i="1"/>
  <c r="BV307" i="1"/>
  <c r="BV308" i="1"/>
  <c r="BV309" i="1"/>
  <c r="BV310" i="1"/>
  <c r="BV311" i="1"/>
  <c r="BV312" i="1"/>
  <c r="BV313" i="1"/>
  <c r="BV314" i="1"/>
  <c r="BV315" i="1"/>
  <c r="BV316" i="1"/>
  <c r="BV317" i="1"/>
  <c r="BV318" i="1"/>
  <c r="BV319" i="1"/>
  <c r="BV320" i="1"/>
  <c r="BV321" i="1"/>
  <c r="BV322" i="1"/>
  <c r="BV323" i="1"/>
  <c r="BV324" i="1"/>
  <c r="BV325" i="1"/>
  <c r="BV326" i="1"/>
  <c r="BV327" i="1"/>
  <c r="BV328" i="1"/>
  <c r="BV329" i="1"/>
  <c r="BV330" i="1"/>
  <c r="BV331" i="1"/>
  <c r="BV332" i="1"/>
  <c r="BV333" i="1"/>
  <c r="BV334" i="1"/>
  <c r="BV335" i="1"/>
  <c r="BV336" i="1"/>
  <c r="BV337" i="1"/>
  <c r="BV338" i="1"/>
  <c r="BV339" i="1"/>
  <c r="BV340" i="1"/>
  <c r="BV341" i="1"/>
  <c r="BV342" i="1"/>
  <c r="BV343" i="1"/>
  <c r="BV344" i="1"/>
  <c r="BV345" i="1"/>
  <c r="BV346" i="1"/>
  <c r="BV347" i="1"/>
  <c r="BV348" i="1"/>
  <c r="BV349" i="1"/>
  <c r="BV350" i="1"/>
  <c r="BV351" i="1"/>
  <c r="BV352" i="1"/>
  <c r="BV353" i="1"/>
  <c r="BV354" i="1"/>
  <c r="BV355" i="1"/>
  <c r="BV356" i="1"/>
  <c r="BV357" i="1"/>
  <c r="BV358" i="1"/>
  <c r="BV359" i="1"/>
  <c r="BV360" i="1"/>
  <c r="BV361" i="1"/>
  <c r="BV362" i="1"/>
  <c r="BV363" i="1"/>
  <c r="BV364" i="1"/>
  <c r="BV365" i="1"/>
  <c r="BV366" i="1"/>
  <c r="BV367" i="1"/>
  <c r="BV368" i="1"/>
  <c r="BV369" i="1"/>
  <c r="BV370" i="1"/>
  <c r="BV371" i="1"/>
  <c r="BV372" i="1"/>
  <c r="BV373" i="1"/>
  <c r="BV374" i="1"/>
  <c r="BV375" i="1"/>
  <c r="BV376" i="1"/>
  <c r="BV377" i="1"/>
  <c r="BV378" i="1"/>
  <c r="BV379" i="1"/>
  <c r="BV380" i="1"/>
  <c r="BV381" i="1"/>
  <c r="BV382" i="1"/>
  <c r="BV383" i="1"/>
  <c r="BV384" i="1"/>
  <c r="BV385" i="1"/>
  <c r="BV386" i="1"/>
  <c r="BV387" i="1"/>
  <c r="BV388" i="1"/>
  <c r="BV389" i="1"/>
  <c r="BV390" i="1"/>
  <c r="BV391" i="1"/>
  <c r="BV392" i="1"/>
  <c r="BV393" i="1"/>
  <c r="BV394" i="1"/>
  <c r="BV395" i="1"/>
  <c r="BV396" i="1"/>
  <c r="BV397" i="1"/>
  <c r="BV398" i="1"/>
  <c r="BV399" i="1"/>
  <c r="BV400" i="1"/>
  <c r="BV401" i="1"/>
  <c r="BV402" i="1"/>
  <c r="BV2" i="1"/>
  <c r="AO12" i="1" l="1"/>
  <c r="I13" i="1"/>
  <c r="AK13" i="1"/>
  <c r="AN13" i="1" s="1"/>
  <c r="AO13" i="1" l="1"/>
  <c r="I14" i="1"/>
  <c r="AK14" i="1"/>
  <c r="AN14" i="1" s="1"/>
  <c r="AO14" i="1" l="1"/>
  <c r="I15" i="1"/>
  <c r="AK15" i="1"/>
  <c r="AN15" i="1" s="1"/>
  <c r="AO15" i="1" l="1"/>
  <c r="AK16" i="1"/>
  <c r="AN16" i="1" s="1"/>
  <c r="L6" i="1"/>
  <c r="AK17" i="1" l="1"/>
  <c r="AN17" i="1" s="1"/>
  <c r="AO16" i="1"/>
  <c r="AK18" i="1"/>
  <c r="AN18" i="1" s="1"/>
  <c r="L7" i="1"/>
  <c r="AO17" i="1" l="1"/>
  <c r="AK19" i="1"/>
  <c r="AN19" i="1" s="1"/>
  <c r="AO18" i="1"/>
  <c r="AO19" i="1"/>
  <c r="AK20" i="1"/>
  <c r="AN20" i="1" s="1"/>
  <c r="L8" i="1"/>
  <c r="L9" i="1" s="1"/>
  <c r="AO20" i="1" l="1"/>
  <c r="AK21" i="1"/>
  <c r="AN21" i="1" s="1"/>
  <c r="L10" i="1"/>
  <c r="AK22" i="1" l="1"/>
  <c r="AN22" i="1" s="1"/>
  <c r="AO21" i="1"/>
  <c r="L11" i="1"/>
  <c r="L12" i="1" s="1"/>
  <c r="AK23" i="1" l="1"/>
  <c r="AN23" i="1" s="1"/>
  <c r="AO22" i="1"/>
  <c r="L13" i="1"/>
  <c r="AO23" i="1" l="1"/>
  <c r="AK24" i="1"/>
  <c r="AN24" i="1" s="1"/>
  <c r="L14" i="1"/>
  <c r="AK25" i="1" l="1"/>
  <c r="AN25" i="1" s="1"/>
  <c r="AO24" i="1"/>
  <c r="L15" i="1"/>
  <c r="AK26" i="1"/>
  <c r="AN26" i="1" s="1"/>
  <c r="AO25" i="1" l="1"/>
  <c r="AO26" i="1"/>
  <c r="O6" i="1"/>
  <c r="AK27" i="1"/>
  <c r="AN27" i="1" s="1"/>
  <c r="AO27" i="1" l="1"/>
  <c r="O7" i="1"/>
  <c r="AK28" i="1"/>
  <c r="AN28" i="1" s="1"/>
  <c r="AO28" i="1" l="1"/>
  <c r="O8" i="1"/>
  <c r="AK29" i="1"/>
  <c r="AN29" i="1" s="1"/>
  <c r="AO29" i="1" l="1"/>
  <c r="O9" i="1"/>
  <c r="AK30" i="1"/>
  <c r="AN30" i="1" s="1"/>
  <c r="AO30" i="1" l="1"/>
  <c r="O10" i="1"/>
  <c r="AK31" i="1"/>
  <c r="AN31" i="1" s="1"/>
  <c r="AO31" i="1" l="1"/>
  <c r="O11" i="1"/>
  <c r="O12" i="1" s="1"/>
  <c r="AK32" i="1"/>
  <c r="AN32" i="1" s="1"/>
  <c r="AO32" i="1" l="1"/>
  <c r="O13" i="1"/>
  <c r="AK33" i="1"/>
  <c r="AN33" i="1" s="1"/>
  <c r="AO33" i="1" l="1"/>
  <c r="O14" i="1"/>
  <c r="AK34" i="1"/>
  <c r="AN34" i="1" s="1"/>
  <c r="AO34" i="1" l="1"/>
  <c r="O15" i="1"/>
  <c r="AK35" i="1"/>
  <c r="AN35" i="1" s="1"/>
  <c r="AO35" i="1" l="1"/>
  <c r="R6" i="1"/>
  <c r="AK36" i="1"/>
  <c r="AN36" i="1" s="1"/>
  <c r="AO36" i="1" l="1"/>
  <c r="R7" i="1"/>
  <c r="AK37" i="1"/>
  <c r="AN37" i="1" s="1"/>
  <c r="AO37" i="1" l="1"/>
  <c r="R8" i="1"/>
  <c r="AK38" i="1"/>
  <c r="AN38" i="1" s="1"/>
  <c r="AO38" i="1" l="1"/>
  <c r="R9" i="1"/>
  <c r="AK39" i="1"/>
  <c r="AN39" i="1" s="1"/>
  <c r="AO39" i="1" l="1"/>
  <c r="R10" i="1"/>
  <c r="AK40" i="1"/>
  <c r="AN40" i="1" s="1"/>
  <c r="AO40" i="1" l="1"/>
  <c r="R11" i="1"/>
  <c r="AK41" i="1"/>
  <c r="AN41" i="1" s="1"/>
  <c r="AO41" i="1" l="1"/>
  <c r="R12" i="1"/>
  <c r="AK42" i="1"/>
  <c r="AN42" i="1" s="1"/>
  <c r="AO42" i="1" l="1"/>
  <c r="R13" i="1"/>
  <c r="AK43" i="1"/>
  <c r="AN43" i="1" s="1"/>
  <c r="AO43" i="1" l="1"/>
  <c r="R14" i="1"/>
  <c r="AK44" i="1"/>
  <c r="AN44" i="1" s="1"/>
  <c r="AO44" i="1" l="1"/>
  <c r="R15" i="1"/>
  <c r="AK45" i="1"/>
  <c r="AN45" i="1" s="1"/>
  <c r="AO45" i="1" l="1"/>
  <c r="U6" i="1"/>
  <c r="AK46" i="1"/>
  <c r="AN46" i="1" s="1"/>
  <c r="AO46" i="1" l="1"/>
  <c r="U7" i="1"/>
  <c r="AK47" i="1"/>
  <c r="AN47" i="1" s="1"/>
  <c r="AO47" i="1" l="1"/>
  <c r="U8" i="1"/>
  <c r="AK48" i="1"/>
  <c r="AN48" i="1" s="1"/>
  <c r="AO48" i="1" l="1"/>
  <c r="U9" i="1"/>
  <c r="AK49" i="1"/>
  <c r="AN49" i="1" s="1"/>
  <c r="AO49" i="1" l="1"/>
  <c r="U10" i="1"/>
  <c r="AK50" i="1"/>
  <c r="AN50" i="1" s="1"/>
  <c r="AO50" i="1" l="1"/>
  <c r="U11" i="1"/>
  <c r="AK51" i="1"/>
  <c r="AN51" i="1" s="1"/>
  <c r="AO51" i="1" l="1"/>
  <c r="U12" i="1"/>
  <c r="AK52" i="1"/>
  <c r="AN52" i="1" s="1"/>
  <c r="AO52" i="1" l="1"/>
  <c r="U13" i="1"/>
  <c r="AK53" i="1"/>
  <c r="AN53" i="1" s="1"/>
  <c r="AO53" i="1" l="1"/>
  <c r="U14" i="1"/>
  <c r="AK54" i="1"/>
  <c r="AN54" i="1" s="1"/>
  <c r="AO54" i="1" l="1"/>
  <c r="U15" i="1"/>
  <c r="AK55" i="1"/>
  <c r="AN55" i="1" s="1"/>
  <c r="AO55" i="1" l="1"/>
  <c r="X6" i="1"/>
  <c r="AK56" i="1"/>
  <c r="AN56" i="1" s="1"/>
  <c r="AO56" i="1" l="1"/>
  <c r="X7" i="1"/>
  <c r="AK57" i="1"/>
  <c r="AN57" i="1" s="1"/>
  <c r="AO57" i="1" l="1"/>
  <c r="X8" i="1"/>
  <c r="AK58" i="1"/>
  <c r="AN58" i="1" s="1"/>
  <c r="AO58" i="1" l="1"/>
  <c r="X9" i="1"/>
  <c r="X10" i="1" s="1"/>
  <c r="AK59" i="1"/>
  <c r="AN59" i="1" s="1"/>
  <c r="AO59" i="1" l="1"/>
  <c r="X11" i="1"/>
  <c r="AK60" i="1"/>
  <c r="AN60" i="1" s="1"/>
  <c r="AO60" i="1" l="1"/>
  <c r="X12" i="1"/>
  <c r="X13" i="1" s="1"/>
  <c r="AK61" i="1"/>
  <c r="AN61" i="1" s="1"/>
  <c r="AO61" i="1" l="1"/>
  <c r="X14" i="1"/>
  <c r="AK62" i="1"/>
  <c r="AN62" i="1" s="1"/>
  <c r="AO62" i="1" l="1"/>
  <c r="X15" i="1"/>
  <c r="AK63" i="1"/>
  <c r="AN63" i="1" s="1"/>
  <c r="AO63" i="1" l="1"/>
  <c r="AA6" i="1"/>
  <c r="AK64" i="1"/>
  <c r="AN64" i="1" s="1"/>
  <c r="AO64" i="1" l="1"/>
  <c r="AA7" i="1"/>
  <c r="AK65" i="1"/>
  <c r="AN65" i="1" s="1"/>
  <c r="AO65" i="1" l="1"/>
  <c r="AA8" i="1"/>
  <c r="AK66" i="1"/>
  <c r="AN66" i="1" s="1"/>
  <c r="AO66" i="1" l="1"/>
  <c r="AA9" i="1"/>
  <c r="AK67" i="1"/>
  <c r="AN67" i="1" s="1"/>
  <c r="AO67" i="1" l="1"/>
  <c r="AA10" i="1"/>
  <c r="AK68" i="1"/>
  <c r="AN68" i="1" s="1"/>
  <c r="AO68" i="1" l="1"/>
  <c r="AA11" i="1"/>
  <c r="AA12" i="1" s="1"/>
  <c r="AK69" i="1"/>
  <c r="AN69" i="1" s="1"/>
  <c r="AO69" i="1" l="1"/>
  <c r="AA13" i="1"/>
  <c r="AK70" i="1"/>
  <c r="AN70" i="1" s="1"/>
  <c r="AO70" i="1" l="1"/>
  <c r="AA14" i="1"/>
  <c r="AK71" i="1"/>
  <c r="AN71" i="1" s="1"/>
  <c r="AO71" i="1" l="1"/>
  <c r="AA15" i="1"/>
  <c r="AK72" i="1"/>
  <c r="AN72" i="1" s="1"/>
  <c r="AO72" i="1" l="1"/>
  <c r="AD6" i="1"/>
  <c r="AK73" i="1"/>
  <c r="AN73" i="1" s="1"/>
  <c r="AO73" i="1" l="1"/>
  <c r="AD7" i="1"/>
  <c r="AK74" i="1"/>
  <c r="AN74" i="1" s="1"/>
  <c r="AO74" i="1" l="1"/>
  <c r="AD8" i="1"/>
  <c r="AK75" i="1"/>
  <c r="AN75" i="1" s="1"/>
  <c r="AO75" i="1" l="1"/>
  <c r="AD9" i="1"/>
  <c r="AD10" i="1" s="1"/>
  <c r="AK76" i="1"/>
  <c r="AN76" i="1" s="1"/>
  <c r="AO76" i="1" l="1"/>
  <c r="AD11" i="1"/>
  <c r="AK77" i="1"/>
  <c r="AN77" i="1" s="1"/>
  <c r="AO77" i="1" l="1"/>
  <c r="AD12" i="1"/>
  <c r="AD13" i="1" s="1"/>
  <c r="AK78" i="1"/>
  <c r="AN78" i="1" s="1"/>
  <c r="AO78" i="1" l="1"/>
  <c r="AD14" i="1"/>
  <c r="AK79" i="1"/>
  <c r="AN79" i="1" s="1"/>
  <c r="AO79" i="1" l="1"/>
  <c r="AD15" i="1"/>
  <c r="AK80" i="1"/>
  <c r="AN80" i="1" s="1"/>
  <c r="AO80" i="1" l="1"/>
  <c r="I18" i="1"/>
  <c r="AK81" i="1"/>
  <c r="AN81" i="1" s="1"/>
  <c r="AO81" i="1" l="1"/>
  <c r="I19" i="1"/>
  <c r="AK82" i="1"/>
  <c r="AN82" i="1" s="1"/>
  <c r="AO82" i="1" l="1"/>
  <c r="I20" i="1"/>
  <c r="AK83" i="1"/>
  <c r="AN83" i="1" s="1"/>
  <c r="AO83" i="1" l="1"/>
  <c r="I21" i="1"/>
  <c r="AK84" i="1"/>
  <c r="AN84" i="1" s="1"/>
  <c r="AO84" i="1" l="1"/>
  <c r="I22" i="1"/>
  <c r="AK85" i="1"/>
  <c r="AN85" i="1" s="1"/>
  <c r="AO85" i="1" l="1"/>
  <c r="I23" i="1"/>
  <c r="I24" i="1" s="1"/>
  <c r="AK86" i="1"/>
  <c r="AN86" i="1" s="1"/>
  <c r="AO86" i="1" l="1"/>
  <c r="I25" i="1"/>
  <c r="AK87" i="1"/>
  <c r="AN87" i="1" s="1"/>
  <c r="AO87" i="1" l="1"/>
  <c r="I26" i="1"/>
  <c r="AK88" i="1"/>
  <c r="AN88" i="1" s="1"/>
  <c r="AO88" i="1" l="1"/>
  <c r="I27" i="1"/>
  <c r="AK89" i="1"/>
  <c r="AN89" i="1" s="1"/>
  <c r="AO89" i="1" l="1"/>
  <c r="L18" i="1"/>
  <c r="AK90" i="1"/>
  <c r="AN90" i="1" s="1"/>
  <c r="AO90" i="1" l="1"/>
  <c r="L19" i="1"/>
  <c r="AK91" i="1"/>
  <c r="AN91" i="1" s="1"/>
  <c r="AO91" i="1" l="1"/>
  <c r="L20" i="1"/>
  <c r="AK92" i="1"/>
  <c r="AN92" i="1" s="1"/>
  <c r="AO92" i="1" l="1"/>
  <c r="L21" i="1"/>
  <c r="AK93" i="1"/>
  <c r="AN93" i="1" s="1"/>
  <c r="AO93" i="1" l="1"/>
  <c r="L22" i="1"/>
  <c r="AK94" i="1"/>
  <c r="AN94" i="1" s="1"/>
  <c r="AO94" i="1" l="1"/>
  <c r="L23" i="1"/>
  <c r="AK95" i="1"/>
  <c r="AN95" i="1" s="1"/>
  <c r="AO95" i="1" l="1"/>
  <c r="L24" i="1"/>
  <c r="AK96" i="1"/>
  <c r="AN96" i="1" s="1"/>
  <c r="AO96" i="1" l="1"/>
  <c r="L25" i="1"/>
  <c r="AK97" i="1"/>
  <c r="AN97" i="1" s="1"/>
  <c r="AO97" i="1" l="1"/>
  <c r="L26" i="1"/>
  <c r="AK98" i="1"/>
  <c r="AN98" i="1" s="1"/>
  <c r="AO98" i="1" l="1"/>
  <c r="L27" i="1"/>
  <c r="AK99" i="1"/>
  <c r="AN99" i="1" s="1"/>
  <c r="AO99" i="1" l="1"/>
  <c r="O18" i="1"/>
  <c r="AK100" i="1"/>
  <c r="AN100" i="1" s="1"/>
  <c r="AO100" i="1" l="1"/>
  <c r="O19" i="1"/>
  <c r="AK101" i="1"/>
  <c r="AN101" i="1" s="1"/>
  <c r="AO101" i="1" l="1"/>
  <c r="O20" i="1"/>
  <c r="AK102" i="1"/>
  <c r="AN102" i="1" s="1"/>
  <c r="AO102" i="1" l="1"/>
  <c r="O21" i="1"/>
  <c r="O22" i="1" s="1"/>
  <c r="AK103" i="1"/>
  <c r="AN103" i="1" s="1"/>
  <c r="AO103" i="1" l="1"/>
  <c r="O23" i="1"/>
  <c r="AK104" i="1"/>
  <c r="AN104" i="1" s="1"/>
  <c r="AO104" i="1" l="1"/>
  <c r="O24" i="1"/>
  <c r="AK105" i="1"/>
  <c r="AN105" i="1" s="1"/>
  <c r="AO105" i="1" l="1"/>
  <c r="O25" i="1"/>
  <c r="AK106" i="1"/>
  <c r="AN106" i="1" s="1"/>
  <c r="AO106" i="1" l="1"/>
  <c r="O26" i="1"/>
  <c r="AK107" i="1"/>
  <c r="AN107" i="1" s="1"/>
  <c r="AO107" i="1" l="1"/>
  <c r="O27" i="1"/>
  <c r="AK108" i="1"/>
  <c r="AN108" i="1" s="1"/>
  <c r="AO108" i="1" l="1"/>
  <c r="R18" i="1"/>
  <c r="AK109" i="1"/>
  <c r="AN109" i="1" s="1"/>
  <c r="AO109" i="1" l="1"/>
  <c r="R19" i="1"/>
  <c r="AK110" i="1"/>
  <c r="AN110" i="1" s="1"/>
  <c r="AO110" i="1" l="1"/>
  <c r="R20" i="1"/>
  <c r="AK111" i="1"/>
  <c r="AN111" i="1" s="1"/>
  <c r="AO111" i="1" l="1"/>
  <c r="R21" i="1"/>
  <c r="AK112" i="1"/>
  <c r="AN112" i="1" s="1"/>
  <c r="AO112" i="1" l="1"/>
  <c r="R22" i="1"/>
  <c r="AK113" i="1"/>
  <c r="AN113" i="1" s="1"/>
  <c r="AO113" i="1" l="1"/>
  <c r="R23" i="1"/>
  <c r="AK114" i="1"/>
  <c r="AN114" i="1" s="1"/>
  <c r="AO114" i="1" l="1"/>
  <c r="R24" i="1"/>
  <c r="AK115" i="1"/>
  <c r="AN115" i="1" s="1"/>
  <c r="AO115" i="1" l="1"/>
  <c r="R25" i="1"/>
  <c r="AK116" i="1"/>
  <c r="AN116" i="1" s="1"/>
  <c r="AO116" i="1" l="1"/>
  <c r="R26" i="1"/>
  <c r="AK117" i="1"/>
  <c r="AN117" i="1" s="1"/>
  <c r="AO117" i="1" l="1"/>
  <c r="R27" i="1"/>
  <c r="AK118" i="1"/>
  <c r="AN118" i="1" s="1"/>
  <c r="AO118" i="1" l="1"/>
  <c r="U18" i="1"/>
  <c r="AK119" i="1"/>
  <c r="AN119" i="1" s="1"/>
  <c r="AO119" i="1" l="1"/>
  <c r="U19" i="1"/>
  <c r="AK120" i="1"/>
  <c r="AN120" i="1" s="1"/>
  <c r="AO120" i="1" l="1"/>
  <c r="U20" i="1"/>
  <c r="AK121" i="1"/>
  <c r="AN121" i="1" s="1"/>
  <c r="AO121" i="1" l="1"/>
  <c r="U21" i="1"/>
  <c r="U22" i="1" s="1"/>
  <c r="AK122" i="1"/>
  <c r="AN122" i="1" s="1"/>
  <c r="AO122" i="1" l="1"/>
  <c r="U23" i="1"/>
  <c r="AK123" i="1"/>
  <c r="AN123" i="1" s="1"/>
  <c r="AO123" i="1" l="1"/>
  <c r="U24" i="1"/>
  <c r="AK124" i="1"/>
  <c r="AN124" i="1" s="1"/>
  <c r="AO124" i="1" l="1"/>
  <c r="U25" i="1"/>
  <c r="AK125" i="1"/>
  <c r="AN125" i="1" s="1"/>
  <c r="AO125" i="1" l="1"/>
  <c r="U26" i="1"/>
  <c r="AK126" i="1"/>
  <c r="AN126" i="1" s="1"/>
  <c r="AO126" i="1" l="1"/>
  <c r="U27" i="1"/>
  <c r="AK127" i="1"/>
  <c r="AN127" i="1" s="1"/>
  <c r="AO127" i="1" l="1"/>
  <c r="X18" i="1"/>
  <c r="AK128" i="1"/>
  <c r="AN128" i="1" s="1"/>
  <c r="AO128" i="1" l="1"/>
  <c r="X19" i="1"/>
  <c r="AK129" i="1"/>
  <c r="AN129" i="1" s="1"/>
  <c r="AO129" i="1" l="1"/>
  <c r="X20" i="1"/>
  <c r="AK130" i="1"/>
  <c r="AN130" i="1" s="1"/>
  <c r="AO130" i="1" l="1"/>
  <c r="X21" i="1"/>
  <c r="X22" i="1" s="1"/>
  <c r="AK131" i="1"/>
  <c r="AN131" i="1" s="1"/>
  <c r="AO131" i="1" l="1"/>
  <c r="X23" i="1"/>
  <c r="AK132" i="1"/>
  <c r="AN132" i="1" s="1"/>
  <c r="AO132" i="1" l="1"/>
  <c r="X24" i="1"/>
  <c r="AK133" i="1"/>
  <c r="AN133" i="1" s="1"/>
  <c r="AO133" i="1" l="1"/>
  <c r="X25" i="1"/>
  <c r="AK134" i="1"/>
  <c r="AN134" i="1" s="1"/>
  <c r="AO134" i="1" l="1"/>
  <c r="X26" i="1"/>
  <c r="X27" i="1" s="1"/>
  <c r="AK135" i="1"/>
  <c r="AN135" i="1" s="1"/>
  <c r="AO135" i="1" l="1"/>
  <c r="AA18" i="1"/>
  <c r="AK136" i="1"/>
  <c r="AN136" i="1" s="1"/>
  <c r="AO136" i="1" l="1"/>
  <c r="AA19" i="1"/>
  <c r="AK137" i="1"/>
  <c r="AN137" i="1" s="1"/>
  <c r="AO137" i="1" l="1"/>
  <c r="AA20" i="1"/>
  <c r="AK138" i="1"/>
  <c r="AN138" i="1" s="1"/>
  <c r="AO138" i="1" l="1"/>
  <c r="AA21" i="1"/>
  <c r="AK139" i="1"/>
  <c r="AN139" i="1" s="1"/>
  <c r="AO139" i="1" l="1"/>
  <c r="AA22" i="1"/>
  <c r="AK140" i="1"/>
  <c r="AN140" i="1" s="1"/>
  <c r="AO140" i="1" l="1"/>
  <c r="AA23" i="1"/>
  <c r="AA24" i="1" s="1"/>
  <c r="AK141" i="1"/>
  <c r="AN141" i="1" s="1"/>
  <c r="AO141" i="1" l="1"/>
  <c r="AA25" i="1"/>
  <c r="AK142" i="1"/>
  <c r="AN142" i="1" s="1"/>
  <c r="AO142" i="1" l="1"/>
  <c r="AA26" i="1"/>
  <c r="AK143" i="1"/>
  <c r="AN143" i="1" s="1"/>
  <c r="AO143" i="1" l="1"/>
  <c r="AA27" i="1"/>
  <c r="AK144" i="1"/>
  <c r="AN144" i="1" s="1"/>
  <c r="AO144" i="1" l="1"/>
  <c r="AD18" i="1"/>
  <c r="AK145" i="1"/>
  <c r="AN145" i="1" s="1"/>
  <c r="AO145" i="1" l="1"/>
  <c r="AD19" i="1"/>
  <c r="AK146" i="1"/>
  <c r="AN146" i="1" s="1"/>
  <c r="AO146" i="1" l="1"/>
  <c r="AD20" i="1"/>
  <c r="AK147" i="1"/>
  <c r="AN147" i="1" s="1"/>
  <c r="AO147" i="1" l="1"/>
  <c r="AD21" i="1"/>
  <c r="AK148" i="1"/>
  <c r="AN148" i="1" s="1"/>
  <c r="AO148" i="1" l="1"/>
  <c r="AD22" i="1"/>
  <c r="AK149" i="1"/>
  <c r="AN149" i="1" s="1"/>
  <c r="AO149" i="1" l="1"/>
  <c r="AD23" i="1"/>
  <c r="AK150" i="1"/>
  <c r="AN150" i="1" s="1"/>
  <c r="AO150" i="1" l="1"/>
  <c r="AD24" i="1"/>
  <c r="AK151" i="1"/>
  <c r="AN151" i="1" s="1"/>
  <c r="AO151" i="1" l="1"/>
  <c r="AD25" i="1"/>
  <c r="AK152" i="1"/>
  <c r="AN152" i="1" s="1"/>
  <c r="AO152" i="1" l="1"/>
  <c r="AD26" i="1"/>
  <c r="AK153" i="1"/>
  <c r="AN153" i="1" s="1"/>
  <c r="AO153" i="1" l="1"/>
  <c r="AD27" i="1"/>
  <c r="AK154" i="1"/>
  <c r="AN154" i="1" s="1"/>
  <c r="AO154" i="1" l="1"/>
  <c r="I30" i="1"/>
  <c r="AK155" i="1"/>
  <c r="AN155" i="1" s="1"/>
  <c r="AO155" i="1" l="1"/>
  <c r="I31" i="1"/>
  <c r="AK156" i="1"/>
  <c r="AN156" i="1" s="1"/>
  <c r="AO156" i="1" l="1"/>
  <c r="I32" i="1"/>
  <c r="I33" i="1" s="1"/>
  <c r="AK157" i="1"/>
  <c r="AN157" i="1" s="1"/>
  <c r="AO157" i="1" l="1"/>
  <c r="I34" i="1"/>
  <c r="AK158" i="1"/>
  <c r="AN158" i="1" s="1"/>
  <c r="AO158" i="1" l="1"/>
  <c r="I35" i="1"/>
  <c r="AK159" i="1"/>
  <c r="AN159" i="1" s="1"/>
  <c r="AO159" i="1" l="1"/>
  <c r="I36" i="1"/>
  <c r="AK160" i="1"/>
  <c r="AN160" i="1" s="1"/>
  <c r="AO160" i="1" l="1"/>
  <c r="I37" i="1"/>
  <c r="I38" i="1" s="1"/>
  <c r="AK161" i="1"/>
  <c r="AN161" i="1" s="1"/>
  <c r="AO161" i="1" l="1"/>
  <c r="I39" i="1"/>
  <c r="AK162" i="1"/>
  <c r="AN162" i="1" s="1"/>
  <c r="AO162" i="1" l="1"/>
  <c r="L30" i="1"/>
  <c r="AK163" i="1"/>
  <c r="AN163" i="1" s="1"/>
  <c r="AO163" i="1" l="1"/>
  <c r="L31" i="1"/>
  <c r="AK164" i="1"/>
  <c r="AN164" i="1" s="1"/>
  <c r="AO164" i="1" l="1"/>
  <c r="L32" i="1"/>
  <c r="AK165" i="1"/>
  <c r="AN165" i="1" s="1"/>
  <c r="AO165" i="1" l="1"/>
  <c r="L33" i="1"/>
  <c r="AK166" i="1"/>
  <c r="AN166" i="1" s="1"/>
  <c r="AO166" i="1" l="1"/>
  <c r="L34" i="1"/>
  <c r="AK167" i="1"/>
  <c r="AN167" i="1" s="1"/>
  <c r="AO167" i="1" l="1"/>
  <c r="L35" i="1"/>
  <c r="AK168" i="1"/>
  <c r="AN168" i="1" s="1"/>
  <c r="AO168" i="1" l="1"/>
  <c r="L36" i="1"/>
  <c r="AK169" i="1"/>
  <c r="AN169" i="1" s="1"/>
  <c r="AO169" i="1" l="1"/>
  <c r="L37" i="1"/>
  <c r="AK170" i="1"/>
  <c r="AN170" i="1" s="1"/>
  <c r="AO170" i="1" l="1"/>
  <c r="L38" i="1"/>
  <c r="AK171" i="1"/>
  <c r="AN171" i="1" s="1"/>
  <c r="AO171" i="1" l="1"/>
  <c r="L39" i="1"/>
  <c r="AK172" i="1"/>
  <c r="AN172" i="1" s="1"/>
  <c r="AO172" i="1" l="1"/>
  <c r="O30" i="1"/>
  <c r="AK173" i="1"/>
  <c r="AN173" i="1" s="1"/>
  <c r="AO173" i="1" l="1"/>
  <c r="O31" i="1"/>
  <c r="AK174" i="1"/>
  <c r="AN174" i="1" s="1"/>
  <c r="AO174" i="1" l="1"/>
  <c r="O32" i="1"/>
  <c r="AK175" i="1"/>
  <c r="AN175" i="1" s="1"/>
  <c r="AO175" i="1" l="1"/>
  <c r="O33" i="1"/>
  <c r="AK176" i="1"/>
  <c r="AN176" i="1" s="1"/>
  <c r="AO176" i="1" l="1"/>
  <c r="O34" i="1"/>
  <c r="AK177" i="1"/>
  <c r="AN177" i="1" s="1"/>
  <c r="AO177" i="1" l="1"/>
  <c r="O35" i="1"/>
  <c r="AK178" i="1"/>
  <c r="AN178" i="1" s="1"/>
  <c r="AO178" i="1" l="1"/>
  <c r="O36" i="1"/>
  <c r="AK179" i="1"/>
  <c r="AN179" i="1" s="1"/>
  <c r="AO179" i="1" l="1"/>
  <c r="O37" i="1"/>
  <c r="AK180" i="1"/>
  <c r="AN180" i="1" s="1"/>
  <c r="AO180" i="1" l="1"/>
  <c r="O38" i="1"/>
  <c r="AK181" i="1"/>
  <c r="AN181" i="1" s="1"/>
  <c r="AO181" i="1" l="1"/>
  <c r="O39" i="1"/>
  <c r="AK182" i="1"/>
  <c r="AN182" i="1" s="1"/>
  <c r="AO182" i="1" l="1"/>
  <c r="R30" i="1"/>
  <c r="AK183" i="1"/>
  <c r="AN183" i="1" s="1"/>
  <c r="AO183" i="1" l="1"/>
  <c r="R31" i="1"/>
  <c r="AK184" i="1"/>
  <c r="AN184" i="1" s="1"/>
  <c r="AO184" i="1" l="1"/>
  <c r="R32" i="1"/>
  <c r="AK185" i="1"/>
  <c r="AN185" i="1" s="1"/>
  <c r="AO185" i="1" l="1"/>
  <c r="R33" i="1"/>
  <c r="AK186" i="1"/>
  <c r="AN186" i="1" s="1"/>
  <c r="AO186" i="1" l="1"/>
  <c r="R34" i="1"/>
  <c r="R35" i="1" s="1"/>
  <c r="AK187" i="1"/>
  <c r="AN187" i="1" s="1"/>
  <c r="AO187" i="1" l="1"/>
  <c r="R36" i="1"/>
  <c r="R37" i="1" s="1"/>
  <c r="AK188" i="1"/>
  <c r="AN188" i="1" s="1"/>
  <c r="AO188" i="1" l="1"/>
  <c r="R38" i="1"/>
  <c r="AK189" i="1"/>
  <c r="AN189" i="1" s="1"/>
  <c r="AO189" i="1" l="1"/>
  <c r="R39" i="1"/>
  <c r="R40" i="1" s="1"/>
  <c r="AK190" i="1"/>
  <c r="AN190" i="1" s="1"/>
  <c r="AO190" i="1" l="1"/>
  <c r="AK191" i="1"/>
  <c r="AN191" i="1" s="1"/>
  <c r="AO191" i="1" l="1"/>
  <c r="AK192" i="1"/>
  <c r="AN192" i="1" s="1"/>
  <c r="AO192" i="1" l="1"/>
  <c r="AK193" i="1"/>
  <c r="AN193" i="1" s="1"/>
  <c r="AO193" i="1" l="1"/>
  <c r="AK194" i="1"/>
  <c r="AN194" i="1" s="1"/>
  <c r="AO194" i="1" l="1"/>
  <c r="AK195" i="1"/>
  <c r="AN195" i="1" s="1"/>
  <c r="AO195" i="1" l="1"/>
  <c r="AK196" i="1"/>
  <c r="AN196" i="1" s="1"/>
  <c r="AO196" i="1" l="1"/>
  <c r="AK197" i="1"/>
  <c r="AN197" i="1" s="1"/>
  <c r="AO197" i="1" l="1"/>
  <c r="AK198" i="1"/>
  <c r="AN198" i="1" s="1"/>
  <c r="AO198" i="1" l="1"/>
  <c r="AK199" i="1"/>
  <c r="AN199" i="1" s="1"/>
  <c r="AO199" i="1" l="1"/>
  <c r="AK200" i="1"/>
  <c r="AN200" i="1" s="1"/>
  <c r="AO200" i="1" l="1"/>
  <c r="AK201" i="1"/>
  <c r="AN201" i="1" s="1"/>
  <c r="AO201" i="1" l="1"/>
  <c r="AK202" i="1"/>
  <c r="AN202" i="1" s="1"/>
  <c r="AO202" i="1" l="1"/>
  <c r="AK203" i="1"/>
  <c r="AN203" i="1" s="1"/>
  <c r="AO203" i="1" l="1"/>
  <c r="AK204" i="1"/>
  <c r="AN204" i="1" s="1"/>
  <c r="AO204" i="1" l="1"/>
  <c r="AK205" i="1"/>
  <c r="AN205" i="1" s="1"/>
  <c r="AO205" i="1" l="1"/>
  <c r="AK206" i="1"/>
  <c r="AN206" i="1" s="1"/>
  <c r="AO206" i="1" l="1"/>
  <c r="AK207" i="1"/>
  <c r="AN207" i="1" s="1"/>
  <c r="AO207" i="1" l="1"/>
  <c r="AK208" i="1"/>
  <c r="AN208" i="1" s="1"/>
  <c r="AO208" i="1" l="1"/>
  <c r="AK209" i="1"/>
  <c r="AN209" i="1" s="1"/>
  <c r="AO209" i="1" l="1"/>
  <c r="AK210" i="1"/>
  <c r="AN210" i="1" s="1"/>
  <c r="AO210" i="1" l="1"/>
  <c r="AK211" i="1"/>
  <c r="AN211" i="1" s="1"/>
  <c r="AO211" i="1" l="1"/>
  <c r="AP210" i="1"/>
  <c r="AU210" i="1" s="1"/>
  <c r="AK212" i="1"/>
  <c r="AN212" i="1" s="1"/>
  <c r="AO212" i="1" l="1"/>
  <c r="AP211" i="1"/>
  <c r="AU211" i="1" s="1"/>
  <c r="AK213" i="1"/>
  <c r="AN213" i="1" s="1"/>
  <c r="AO213" i="1" l="1"/>
  <c r="AP212" i="1"/>
  <c r="AU212" i="1" s="1"/>
  <c r="AK214" i="1"/>
  <c r="AN214" i="1" s="1"/>
  <c r="AO214" i="1" l="1"/>
  <c r="AP213" i="1"/>
  <c r="AU213" i="1" s="1"/>
  <c r="AK215" i="1"/>
  <c r="AN215" i="1" s="1"/>
  <c r="AO215" i="1" l="1"/>
  <c r="AP215" i="1" s="1"/>
  <c r="AU215" i="1" s="1"/>
  <c r="AP214" i="1"/>
  <c r="AU214" i="1" s="1"/>
  <c r="AK216" i="1"/>
  <c r="AN216" i="1" s="1"/>
  <c r="AR3" i="1"/>
  <c r="AK217" i="1" l="1"/>
  <c r="AN217" i="1" s="1"/>
  <c r="AO216" i="1"/>
  <c r="AK218" i="1" l="1"/>
  <c r="AN218" i="1" s="1"/>
  <c r="AO217" i="1"/>
  <c r="AP217" i="1" s="1"/>
  <c r="AU217" i="1" s="1"/>
  <c r="AO218" i="1"/>
  <c r="AP218" i="1" s="1"/>
  <c r="AU218" i="1" s="1"/>
  <c r="AP216" i="1"/>
  <c r="AU216" i="1" s="1"/>
  <c r="AK219" i="1"/>
  <c r="AN219" i="1" s="1"/>
  <c r="AO219" i="1" l="1"/>
  <c r="AP219" i="1" s="1"/>
  <c r="AU219" i="1" s="1"/>
  <c r="AK220" i="1"/>
  <c r="AN220" i="1" s="1"/>
  <c r="AO220" i="1" l="1"/>
  <c r="AP220" i="1" s="1"/>
  <c r="AU220" i="1" s="1"/>
  <c r="AK221" i="1"/>
  <c r="AN221" i="1" s="1"/>
  <c r="AO221" i="1" l="1"/>
  <c r="AP221" i="1" s="1"/>
  <c r="AU221" i="1" s="1"/>
  <c r="AK222" i="1"/>
  <c r="AN222" i="1" s="1"/>
  <c r="AO222" i="1" l="1"/>
  <c r="AP222" i="1" s="1"/>
  <c r="AU222" i="1" s="1"/>
  <c r="AK223" i="1"/>
  <c r="AN223" i="1" s="1"/>
  <c r="AO223" i="1" l="1"/>
  <c r="AP223" i="1" s="1"/>
  <c r="AU223" i="1" s="1"/>
  <c r="AK224" i="1"/>
  <c r="AN224" i="1" s="1"/>
  <c r="AO224" i="1" l="1"/>
  <c r="AP224" i="1" s="1"/>
  <c r="AU224" i="1" s="1"/>
  <c r="AK225" i="1"/>
  <c r="AN225" i="1" s="1"/>
  <c r="AO225" i="1" l="1"/>
  <c r="AP225" i="1" s="1"/>
  <c r="AU225" i="1" s="1"/>
  <c r="AK226" i="1"/>
  <c r="AN226" i="1" s="1"/>
  <c r="AO226" i="1" l="1"/>
  <c r="AP226" i="1" s="1"/>
  <c r="AU226" i="1" s="1"/>
  <c r="AK227" i="1"/>
  <c r="AN227" i="1" s="1"/>
  <c r="AO227" i="1" l="1"/>
  <c r="AP227" i="1" s="1"/>
  <c r="AU227" i="1" s="1"/>
  <c r="AK228" i="1"/>
  <c r="AN228" i="1" s="1"/>
  <c r="AO228" i="1" l="1"/>
  <c r="AP228" i="1" s="1"/>
  <c r="AU228" i="1" s="1"/>
  <c r="AK229" i="1"/>
  <c r="AN229" i="1" s="1"/>
  <c r="AO229" i="1" l="1"/>
  <c r="AP229" i="1" s="1"/>
  <c r="AU229" i="1" s="1"/>
  <c r="AK230" i="1"/>
  <c r="AN230" i="1" s="1"/>
  <c r="AO230" i="1" l="1"/>
  <c r="AP230" i="1" s="1"/>
  <c r="AU230" i="1" s="1"/>
  <c r="AK231" i="1"/>
  <c r="AN231" i="1" s="1"/>
  <c r="AO231" i="1" l="1"/>
  <c r="AP231" i="1" s="1"/>
  <c r="AU231" i="1" s="1"/>
  <c r="AK232" i="1"/>
  <c r="AN232" i="1" s="1"/>
  <c r="AO232" i="1" l="1"/>
  <c r="AP232" i="1" s="1"/>
  <c r="AU232" i="1" s="1"/>
  <c r="AK233" i="1"/>
  <c r="AN233" i="1" s="1"/>
  <c r="AO233" i="1" l="1"/>
  <c r="AP233" i="1" s="1"/>
  <c r="AU233" i="1" s="1"/>
  <c r="AK234" i="1"/>
  <c r="AN234" i="1" s="1"/>
  <c r="AO234" i="1" l="1"/>
  <c r="AP234" i="1" s="1"/>
  <c r="AU234" i="1" s="1"/>
  <c r="AK235" i="1"/>
  <c r="AN235" i="1" s="1"/>
  <c r="AO235" i="1" l="1"/>
  <c r="AP235" i="1" s="1"/>
  <c r="AU235" i="1" s="1"/>
  <c r="AK236" i="1"/>
  <c r="AN236" i="1" s="1"/>
  <c r="AO236" i="1" l="1"/>
  <c r="AP236" i="1" s="1"/>
  <c r="AU236" i="1" s="1"/>
  <c r="AK237" i="1"/>
  <c r="AN237" i="1" s="1"/>
  <c r="AO237" i="1" l="1"/>
  <c r="AP237" i="1" s="1"/>
  <c r="AU237" i="1" s="1"/>
  <c r="AK238" i="1"/>
  <c r="AN238" i="1" s="1"/>
  <c r="AO238" i="1" l="1"/>
  <c r="AP238" i="1" s="1"/>
  <c r="AU238" i="1" s="1"/>
  <c r="AK239" i="1"/>
  <c r="AN239" i="1" s="1"/>
  <c r="AO239" i="1" l="1"/>
  <c r="AP239" i="1" s="1"/>
  <c r="AU239" i="1" s="1"/>
  <c r="AK240" i="1"/>
  <c r="AN240" i="1" s="1"/>
  <c r="AO240" i="1" l="1"/>
  <c r="AP240" i="1" s="1"/>
  <c r="AU240" i="1" s="1"/>
  <c r="AK241" i="1"/>
  <c r="AN241" i="1" s="1"/>
  <c r="AO241" i="1" l="1"/>
  <c r="AP241" i="1" s="1"/>
  <c r="AU241" i="1" s="1"/>
  <c r="AK242" i="1"/>
  <c r="AN242" i="1" s="1"/>
  <c r="AO242" i="1" l="1"/>
  <c r="AP242" i="1" s="1"/>
  <c r="AU242" i="1" s="1"/>
  <c r="AK243" i="1"/>
  <c r="AN243" i="1" s="1"/>
  <c r="AO243" i="1" l="1"/>
  <c r="AP243" i="1" s="1"/>
  <c r="AU243" i="1" s="1"/>
  <c r="AK244" i="1"/>
  <c r="AN244" i="1" s="1"/>
  <c r="AO244" i="1" l="1"/>
  <c r="AP244" i="1" s="1"/>
  <c r="AU244" i="1" s="1"/>
  <c r="AK245" i="1"/>
  <c r="AN245" i="1" s="1"/>
  <c r="AO245" i="1" l="1"/>
  <c r="AP245" i="1" s="1"/>
  <c r="AU245" i="1" s="1"/>
  <c r="AK246" i="1"/>
  <c r="AN246" i="1" s="1"/>
  <c r="AO246" i="1" l="1"/>
  <c r="AP246" i="1" s="1"/>
  <c r="AU246" i="1" s="1"/>
  <c r="AK247" i="1"/>
  <c r="AN247" i="1" s="1"/>
  <c r="AO247" i="1" l="1"/>
  <c r="AP247" i="1" s="1"/>
  <c r="AU247" i="1" s="1"/>
  <c r="AK248" i="1"/>
  <c r="AN248" i="1" s="1"/>
  <c r="AO248" i="1" l="1"/>
  <c r="AP248" i="1" s="1"/>
  <c r="AU248" i="1" s="1"/>
  <c r="AK249" i="1"/>
  <c r="AN249" i="1" s="1"/>
  <c r="AO249" i="1" l="1"/>
  <c r="AP249" i="1" s="1"/>
  <c r="AU249" i="1" s="1"/>
  <c r="AK250" i="1"/>
  <c r="AN250" i="1" s="1"/>
  <c r="AO250" i="1" l="1"/>
  <c r="AP250" i="1" s="1"/>
  <c r="AU250" i="1" s="1"/>
  <c r="AK251" i="1"/>
  <c r="AN251" i="1" s="1"/>
  <c r="AO251" i="1" l="1"/>
  <c r="AP251" i="1" s="1"/>
  <c r="AU251" i="1" s="1"/>
  <c r="AK252" i="1"/>
  <c r="AN252" i="1" s="1"/>
  <c r="AO252" i="1" l="1"/>
  <c r="AP252" i="1" s="1"/>
  <c r="AU252" i="1" s="1"/>
  <c r="AK253" i="1"/>
  <c r="AN253" i="1" s="1"/>
  <c r="AO253" i="1" l="1"/>
  <c r="AP253" i="1" s="1"/>
  <c r="AU253" i="1" s="1"/>
  <c r="AK254" i="1"/>
  <c r="AN254" i="1" s="1"/>
  <c r="AO254" i="1" l="1"/>
  <c r="AP254" i="1" s="1"/>
  <c r="AU254" i="1" s="1"/>
  <c r="AK255" i="1"/>
  <c r="AN255" i="1" s="1"/>
  <c r="AO255" i="1" l="1"/>
  <c r="AP255" i="1" s="1"/>
  <c r="AU255" i="1" s="1"/>
  <c r="AK256" i="1"/>
  <c r="AN256" i="1" s="1"/>
  <c r="AO256" i="1" l="1"/>
  <c r="AP256" i="1" s="1"/>
  <c r="AU256" i="1" s="1"/>
  <c r="AK257" i="1"/>
  <c r="AN257" i="1" s="1"/>
  <c r="AO257" i="1" l="1"/>
  <c r="AP257" i="1" s="1"/>
  <c r="AU257" i="1" s="1"/>
  <c r="AK258" i="1"/>
  <c r="AN258" i="1" s="1"/>
  <c r="AO258" i="1" l="1"/>
  <c r="AP258" i="1" s="1"/>
  <c r="AU258" i="1" s="1"/>
  <c r="AK259" i="1"/>
  <c r="AN259" i="1" s="1"/>
  <c r="AO259" i="1" l="1"/>
  <c r="AP259" i="1" s="1"/>
  <c r="AU259" i="1" s="1"/>
  <c r="AK260" i="1"/>
  <c r="AN260" i="1" s="1"/>
  <c r="AO260" i="1" l="1"/>
  <c r="AP260" i="1" s="1"/>
  <c r="AU260" i="1" s="1"/>
  <c r="AK261" i="1"/>
  <c r="AN261" i="1" s="1"/>
  <c r="AO261" i="1" l="1"/>
  <c r="AP261" i="1" s="1"/>
  <c r="AU261" i="1" s="1"/>
  <c r="AK262" i="1"/>
  <c r="AN262" i="1" s="1"/>
  <c r="AO262" i="1" l="1"/>
  <c r="AP262" i="1" s="1"/>
  <c r="AU262" i="1" s="1"/>
  <c r="AK263" i="1"/>
  <c r="AN263" i="1" s="1"/>
  <c r="AO263" i="1" l="1"/>
  <c r="AP263" i="1" s="1"/>
  <c r="AU263" i="1" s="1"/>
  <c r="AK264" i="1"/>
  <c r="AN264" i="1" s="1"/>
  <c r="AO264" i="1" l="1"/>
  <c r="AP264" i="1" s="1"/>
  <c r="AU264" i="1" s="1"/>
  <c r="AK265" i="1"/>
  <c r="AN265" i="1" s="1"/>
  <c r="AO265" i="1" l="1"/>
  <c r="AP265" i="1" s="1"/>
  <c r="AU265" i="1" s="1"/>
  <c r="AK266" i="1"/>
  <c r="AN266" i="1" s="1"/>
  <c r="AO266" i="1" l="1"/>
  <c r="AP266" i="1" s="1"/>
  <c r="AU266" i="1" s="1"/>
  <c r="AK267" i="1"/>
  <c r="AN267" i="1" s="1"/>
  <c r="AO267" i="1" l="1"/>
  <c r="AP267" i="1" s="1"/>
  <c r="AU267" i="1" s="1"/>
  <c r="AK268" i="1"/>
  <c r="AN268" i="1" s="1"/>
  <c r="AO268" i="1" l="1"/>
  <c r="AP268" i="1" s="1"/>
  <c r="AU268" i="1" s="1"/>
  <c r="AK269" i="1"/>
  <c r="AN269" i="1" s="1"/>
  <c r="AO269" i="1" l="1"/>
  <c r="AP269" i="1" s="1"/>
  <c r="AU269" i="1" s="1"/>
  <c r="AK270" i="1"/>
  <c r="AN270" i="1" s="1"/>
  <c r="AO270" i="1" l="1"/>
  <c r="AP270" i="1" s="1"/>
  <c r="AU270" i="1" s="1"/>
  <c r="AK271" i="1"/>
  <c r="AN271" i="1" s="1"/>
  <c r="AO271" i="1" l="1"/>
  <c r="AP271" i="1" s="1"/>
  <c r="AU271" i="1" s="1"/>
  <c r="AK272" i="1"/>
  <c r="AN272" i="1" s="1"/>
  <c r="AO272" i="1" l="1"/>
  <c r="AP272" i="1" s="1"/>
  <c r="AU272" i="1" s="1"/>
  <c r="AK273" i="1"/>
  <c r="AN273" i="1" s="1"/>
  <c r="AO273" i="1" l="1"/>
  <c r="AP273" i="1" s="1"/>
  <c r="AU273" i="1" s="1"/>
  <c r="AK274" i="1"/>
  <c r="AN274" i="1" s="1"/>
  <c r="AO274" i="1" l="1"/>
  <c r="AP274" i="1" s="1"/>
  <c r="AU274" i="1" s="1"/>
  <c r="AK275" i="1"/>
  <c r="AN275" i="1" s="1"/>
  <c r="AO275" i="1" l="1"/>
  <c r="AP275" i="1" s="1"/>
  <c r="AU275" i="1" s="1"/>
  <c r="AK276" i="1"/>
  <c r="AN276" i="1" s="1"/>
  <c r="AO276" i="1" l="1"/>
  <c r="AP276" i="1" s="1"/>
  <c r="AU276" i="1" s="1"/>
  <c r="AK277" i="1"/>
  <c r="AN277" i="1" s="1"/>
  <c r="AO277" i="1" l="1"/>
  <c r="AP277" i="1" s="1"/>
  <c r="AU277" i="1" s="1"/>
  <c r="AK278" i="1"/>
  <c r="AN278" i="1" s="1"/>
  <c r="AO278" i="1" l="1"/>
  <c r="AP278" i="1" s="1"/>
  <c r="AU278" i="1" s="1"/>
  <c r="AK279" i="1"/>
  <c r="AN279" i="1" s="1"/>
  <c r="AO279" i="1" l="1"/>
  <c r="AP279" i="1" s="1"/>
  <c r="AU279" i="1" s="1"/>
  <c r="AK280" i="1"/>
  <c r="AN280" i="1" s="1"/>
  <c r="AO280" i="1" l="1"/>
  <c r="AP280" i="1" s="1"/>
  <c r="AU280" i="1" s="1"/>
  <c r="AK281" i="1"/>
  <c r="AN281" i="1" s="1"/>
  <c r="AO281" i="1" l="1"/>
  <c r="AP281" i="1" s="1"/>
  <c r="AU281" i="1" s="1"/>
  <c r="AK282" i="1"/>
  <c r="AN282" i="1" s="1"/>
  <c r="AO282" i="1" l="1"/>
  <c r="AP282" i="1" s="1"/>
  <c r="AU282" i="1" s="1"/>
  <c r="AK283" i="1"/>
  <c r="AN283" i="1" s="1"/>
  <c r="AO283" i="1" l="1"/>
  <c r="AP283" i="1" s="1"/>
  <c r="AU283" i="1" s="1"/>
  <c r="AK284" i="1"/>
  <c r="AN284" i="1" s="1"/>
  <c r="AO284" i="1" l="1"/>
  <c r="AP284" i="1" s="1"/>
  <c r="AU284" i="1" s="1"/>
  <c r="AK285" i="1"/>
  <c r="AN285" i="1" s="1"/>
  <c r="AO285" i="1" l="1"/>
  <c r="AP285" i="1" s="1"/>
  <c r="AU285" i="1" s="1"/>
  <c r="AK286" i="1"/>
  <c r="AN286" i="1" s="1"/>
  <c r="AO286" i="1" l="1"/>
  <c r="AP286" i="1" s="1"/>
  <c r="AU286" i="1" s="1"/>
  <c r="AK287" i="1"/>
  <c r="AN287" i="1" s="1"/>
  <c r="AO287" i="1" l="1"/>
  <c r="AP287" i="1" s="1"/>
  <c r="AU287" i="1" s="1"/>
  <c r="AK288" i="1"/>
  <c r="AN288" i="1" s="1"/>
  <c r="AO288" i="1" l="1"/>
  <c r="AP288" i="1" s="1"/>
  <c r="AU288" i="1" s="1"/>
  <c r="AK289" i="1"/>
  <c r="AN289" i="1" s="1"/>
  <c r="AO289" i="1" l="1"/>
  <c r="AP289" i="1" s="1"/>
  <c r="AU289" i="1" s="1"/>
  <c r="AK290" i="1"/>
  <c r="AN290" i="1" s="1"/>
  <c r="AO290" i="1" l="1"/>
  <c r="AP290" i="1" s="1"/>
  <c r="AU290" i="1" s="1"/>
  <c r="AK291" i="1"/>
  <c r="AN291" i="1" s="1"/>
  <c r="AO291" i="1" l="1"/>
  <c r="AP291" i="1" s="1"/>
  <c r="AU291" i="1" s="1"/>
  <c r="AK292" i="1"/>
  <c r="AN292" i="1" s="1"/>
  <c r="AO292" i="1" l="1"/>
  <c r="AP292" i="1" s="1"/>
  <c r="AU292" i="1" s="1"/>
  <c r="AK293" i="1"/>
  <c r="AN293" i="1" s="1"/>
  <c r="AO293" i="1" l="1"/>
  <c r="AP293" i="1" s="1"/>
  <c r="AU293" i="1" s="1"/>
  <c r="AK294" i="1"/>
  <c r="AN294" i="1" s="1"/>
  <c r="AO294" i="1" l="1"/>
  <c r="AP294" i="1" s="1"/>
  <c r="AU294" i="1" s="1"/>
  <c r="AK295" i="1"/>
  <c r="AN295" i="1" s="1"/>
  <c r="AO295" i="1" l="1"/>
  <c r="AP295" i="1" s="1"/>
  <c r="AU295" i="1" s="1"/>
  <c r="AK296" i="1"/>
  <c r="AN296" i="1" s="1"/>
  <c r="AO296" i="1" l="1"/>
  <c r="AP296" i="1" s="1"/>
  <c r="AU296" i="1" s="1"/>
  <c r="AK297" i="1"/>
  <c r="AN297" i="1" s="1"/>
  <c r="AO297" i="1" l="1"/>
  <c r="AP297" i="1" s="1"/>
  <c r="AU297" i="1" s="1"/>
  <c r="AK298" i="1"/>
  <c r="AN298" i="1" s="1"/>
  <c r="AO298" i="1" l="1"/>
  <c r="AP298" i="1" s="1"/>
  <c r="AU298" i="1" s="1"/>
  <c r="AK299" i="1"/>
  <c r="AN299" i="1" s="1"/>
  <c r="AO299" i="1" l="1"/>
  <c r="AP299" i="1" s="1"/>
  <c r="AU299" i="1" s="1"/>
  <c r="AK300" i="1"/>
  <c r="AN300" i="1" s="1"/>
  <c r="AO300" i="1" l="1"/>
  <c r="AP300" i="1" s="1"/>
  <c r="AU300" i="1" s="1"/>
  <c r="AK301" i="1"/>
  <c r="AN301" i="1" s="1"/>
  <c r="AO301" i="1" l="1"/>
  <c r="AP301" i="1" s="1"/>
  <c r="AU301" i="1" s="1"/>
  <c r="AK302" i="1"/>
  <c r="AN302" i="1" s="1"/>
  <c r="AO302" i="1" l="1"/>
  <c r="AP302" i="1" s="1"/>
  <c r="AU302" i="1" s="1"/>
  <c r="AK303" i="1"/>
  <c r="AN303" i="1" s="1"/>
  <c r="AO303" i="1" l="1"/>
  <c r="AP303" i="1" s="1"/>
  <c r="AU303" i="1" s="1"/>
  <c r="AK304" i="1"/>
  <c r="AN304" i="1" s="1"/>
  <c r="AO304" i="1" l="1"/>
  <c r="AP304" i="1" s="1"/>
  <c r="AU304" i="1" s="1"/>
  <c r="AK305" i="1"/>
  <c r="AN305" i="1" s="1"/>
  <c r="AO305" i="1" l="1"/>
  <c r="AP305" i="1" s="1"/>
  <c r="AU305" i="1" s="1"/>
  <c r="AK306" i="1"/>
  <c r="AN306" i="1" s="1"/>
  <c r="AO306" i="1" l="1"/>
  <c r="AP306" i="1" s="1"/>
  <c r="AU306" i="1" s="1"/>
  <c r="AK307" i="1"/>
  <c r="AN307" i="1" s="1"/>
  <c r="AO307" i="1" l="1"/>
  <c r="AP307" i="1" s="1"/>
  <c r="AU307" i="1" s="1"/>
  <c r="AK308" i="1"/>
  <c r="AN308" i="1" s="1"/>
  <c r="AO308" i="1" l="1"/>
  <c r="AP308" i="1" s="1"/>
  <c r="AU308" i="1" s="1"/>
  <c r="AK309" i="1"/>
  <c r="AN309" i="1" s="1"/>
  <c r="AO309" i="1" l="1"/>
  <c r="AP309" i="1" s="1"/>
  <c r="AU309" i="1" s="1"/>
  <c r="AK310" i="1"/>
  <c r="AN310" i="1" s="1"/>
  <c r="AO310" i="1" l="1"/>
  <c r="AP310" i="1" s="1"/>
  <c r="AU310" i="1" s="1"/>
  <c r="AK311" i="1"/>
  <c r="AN311" i="1" s="1"/>
  <c r="AO311" i="1" l="1"/>
  <c r="AP311" i="1" s="1"/>
  <c r="AU311" i="1" s="1"/>
  <c r="AL310" i="1"/>
  <c r="AK312" i="1"/>
  <c r="AN312" i="1" s="1"/>
  <c r="AO312" i="1" l="1"/>
  <c r="AP312" i="1" s="1"/>
  <c r="AU312" i="1" s="1"/>
  <c r="AL311" i="1"/>
  <c r="AK313" i="1"/>
  <c r="AN313" i="1" s="1"/>
  <c r="AO313" i="1" l="1"/>
  <c r="AP313" i="1" s="1"/>
  <c r="AU313" i="1" s="1"/>
  <c r="AL312" i="1"/>
  <c r="AK314" i="1"/>
  <c r="AN314" i="1" s="1"/>
  <c r="AO314" i="1" l="1"/>
  <c r="AP314" i="1" s="1"/>
  <c r="AU314" i="1" s="1"/>
  <c r="AL313" i="1"/>
  <c r="AK315" i="1"/>
  <c r="AN315" i="1" s="1"/>
  <c r="AO315" i="1" l="1"/>
  <c r="AP315" i="1" s="1"/>
  <c r="AU315" i="1" s="1"/>
  <c r="AL314" i="1"/>
  <c r="AK316" i="1"/>
  <c r="AN316" i="1" s="1"/>
  <c r="AO316" i="1" l="1"/>
  <c r="AP316" i="1" s="1"/>
  <c r="AU316" i="1" s="1"/>
  <c r="AL315" i="1"/>
  <c r="AK317" i="1"/>
  <c r="AN317" i="1" s="1"/>
  <c r="AO317" i="1" l="1"/>
  <c r="AP317" i="1" s="1"/>
  <c r="AU317" i="1" s="1"/>
  <c r="AL316" i="1"/>
  <c r="AK318" i="1"/>
  <c r="AN318" i="1" s="1"/>
  <c r="AO318" i="1" l="1"/>
  <c r="AP318" i="1" s="1"/>
  <c r="AU318" i="1" s="1"/>
  <c r="AK319" i="1"/>
  <c r="AN319" i="1" s="1"/>
  <c r="AL317" i="1"/>
  <c r="AO319" i="1" l="1"/>
  <c r="AP319" i="1" s="1"/>
  <c r="AU319" i="1" s="1"/>
  <c r="AK320" i="1"/>
  <c r="AN320" i="1" s="1"/>
  <c r="AL319" i="1"/>
  <c r="AL318" i="1"/>
  <c r="AO320" i="1" l="1"/>
  <c r="AP320" i="1" s="1"/>
  <c r="AU320" i="1" s="1"/>
  <c r="AK321" i="1"/>
  <c r="AN321" i="1" s="1"/>
  <c r="AL320" i="1"/>
  <c r="AK322" i="1" l="1"/>
  <c r="AN322" i="1" s="1"/>
  <c r="AL321" i="1"/>
  <c r="AO321" i="1"/>
  <c r="AP321" i="1" s="1"/>
  <c r="AU321" i="1" s="1"/>
  <c r="AK323" i="1"/>
  <c r="AN323" i="1" s="1"/>
  <c r="AL322" i="1"/>
  <c r="AK324" i="1" l="1"/>
  <c r="AN324" i="1" s="1"/>
  <c r="AO322" i="1"/>
  <c r="AP322" i="1" s="1"/>
  <c r="AU322" i="1" s="1"/>
  <c r="AO323" i="1"/>
  <c r="AP323" i="1" s="1"/>
  <c r="AU323" i="1" s="1"/>
  <c r="AL323" i="1"/>
  <c r="AK325" i="1"/>
  <c r="AN325" i="1" s="1"/>
  <c r="AO324" i="1" l="1"/>
  <c r="AP324" i="1" s="1"/>
  <c r="AU324" i="1" s="1"/>
  <c r="AO325" i="1"/>
  <c r="AP325" i="1" s="1"/>
  <c r="AU325" i="1" s="1"/>
  <c r="AL324" i="1"/>
  <c r="AK326" i="1"/>
  <c r="AN326" i="1" s="1"/>
  <c r="AO326" i="1" l="1"/>
  <c r="AP326" i="1" s="1"/>
  <c r="AU326" i="1" s="1"/>
  <c r="AL325" i="1"/>
  <c r="AK327" i="1"/>
  <c r="AN327" i="1" s="1"/>
  <c r="AO327" i="1" l="1"/>
  <c r="AP327" i="1" s="1"/>
  <c r="AU327" i="1" s="1"/>
  <c r="AL326" i="1"/>
  <c r="AK328" i="1"/>
  <c r="AN328" i="1" s="1"/>
  <c r="AO328" i="1" l="1"/>
  <c r="AP328" i="1" s="1"/>
  <c r="AU328" i="1" s="1"/>
  <c r="AL327" i="1"/>
  <c r="AK329" i="1"/>
  <c r="AN329" i="1" s="1"/>
  <c r="AO329" i="1" l="1"/>
  <c r="AP329" i="1" s="1"/>
  <c r="AU329" i="1" s="1"/>
  <c r="AL328" i="1"/>
  <c r="AK330" i="1"/>
  <c r="AN330" i="1" s="1"/>
  <c r="AO330" i="1" l="1"/>
  <c r="AP330" i="1" s="1"/>
  <c r="AU330" i="1" s="1"/>
  <c r="AL329" i="1"/>
  <c r="AK331" i="1"/>
  <c r="AN331" i="1" s="1"/>
  <c r="AO331" i="1" l="1"/>
  <c r="AP331" i="1" s="1"/>
  <c r="AU331" i="1" s="1"/>
  <c r="AL330" i="1"/>
  <c r="AK332" i="1"/>
  <c r="AN332" i="1" s="1"/>
  <c r="AO332" i="1" l="1"/>
  <c r="AP332" i="1" s="1"/>
  <c r="AU332" i="1" s="1"/>
  <c r="AL331" i="1"/>
  <c r="AK333" i="1"/>
  <c r="AN333" i="1" s="1"/>
  <c r="AO333" i="1" l="1"/>
  <c r="AP333" i="1" s="1"/>
  <c r="AU333" i="1" s="1"/>
  <c r="AL332" i="1"/>
  <c r="AK334" i="1"/>
  <c r="AN334" i="1" s="1"/>
  <c r="AO334" i="1" l="1"/>
  <c r="AP334" i="1" s="1"/>
  <c r="AU334" i="1" s="1"/>
  <c r="AL333" i="1"/>
  <c r="AK335" i="1"/>
  <c r="AN335" i="1" s="1"/>
  <c r="AO335" i="1" l="1"/>
  <c r="AP335" i="1" s="1"/>
  <c r="AU335" i="1" s="1"/>
  <c r="AL334" i="1"/>
  <c r="AK336" i="1"/>
  <c r="AN336" i="1" s="1"/>
  <c r="AO336" i="1" l="1"/>
  <c r="AP336" i="1" s="1"/>
  <c r="AU336" i="1" s="1"/>
  <c r="AL335" i="1"/>
  <c r="AK337" i="1"/>
  <c r="AN337" i="1" s="1"/>
  <c r="AO337" i="1" l="1"/>
  <c r="AP337" i="1" s="1"/>
  <c r="AU337" i="1" s="1"/>
  <c r="AL336" i="1"/>
  <c r="AK338" i="1"/>
  <c r="AN338" i="1" s="1"/>
  <c r="AO338" i="1" l="1"/>
  <c r="AP338" i="1" s="1"/>
  <c r="AU338" i="1" s="1"/>
  <c r="AL337" i="1"/>
  <c r="AK339" i="1"/>
  <c r="AN339" i="1" s="1"/>
  <c r="AO339" i="1" l="1"/>
  <c r="AP339" i="1" s="1"/>
  <c r="AU339" i="1" s="1"/>
  <c r="AL338" i="1"/>
  <c r="AK340" i="1"/>
  <c r="AN340" i="1" s="1"/>
  <c r="AO340" i="1" l="1"/>
  <c r="AP340" i="1" s="1"/>
  <c r="AU340" i="1" s="1"/>
  <c r="AL339" i="1"/>
  <c r="AK341" i="1"/>
  <c r="AN341" i="1" s="1"/>
  <c r="AO341" i="1" l="1"/>
  <c r="AP341" i="1" s="1"/>
  <c r="AU341" i="1" s="1"/>
  <c r="AL340" i="1"/>
  <c r="AK342" i="1"/>
  <c r="AN342" i="1" s="1"/>
  <c r="AO342" i="1" l="1"/>
  <c r="AP342" i="1" s="1"/>
  <c r="AU342" i="1" s="1"/>
  <c r="AL341" i="1"/>
  <c r="AK343" i="1"/>
  <c r="AN343" i="1" s="1"/>
  <c r="AO343" i="1" l="1"/>
  <c r="AP343" i="1" s="1"/>
  <c r="AU343" i="1" s="1"/>
  <c r="AL342" i="1"/>
  <c r="AK344" i="1"/>
  <c r="AN344" i="1" s="1"/>
  <c r="AO344" i="1" l="1"/>
  <c r="AP344" i="1" s="1"/>
  <c r="AU344" i="1" s="1"/>
  <c r="AL343" i="1"/>
  <c r="AK345" i="1"/>
  <c r="AN345" i="1" s="1"/>
  <c r="AO345" i="1" l="1"/>
  <c r="AP345" i="1" s="1"/>
  <c r="AU345" i="1" s="1"/>
  <c r="AL344" i="1"/>
  <c r="AK346" i="1"/>
  <c r="AN346" i="1" s="1"/>
  <c r="AO346" i="1" l="1"/>
  <c r="AP346" i="1" s="1"/>
  <c r="AU346" i="1" s="1"/>
  <c r="AL345" i="1"/>
  <c r="AK347" i="1"/>
  <c r="AN347" i="1" s="1"/>
  <c r="AO347" i="1" l="1"/>
  <c r="AP347" i="1" s="1"/>
  <c r="AU347" i="1" s="1"/>
  <c r="AL346" i="1"/>
  <c r="AK348" i="1"/>
  <c r="AN348" i="1" s="1"/>
  <c r="AO348" i="1" l="1"/>
  <c r="AP348" i="1" s="1"/>
  <c r="AU348" i="1" s="1"/>
  <c r="AL347" i="1"/>
  <c r="AK349" i="1"/>
  <c r="AN349" i="1" s="1"/>
  <c r="AO349" i="1" l="1"/>
  <c r="AP349" i="1" s="1"/>
  <c r="AU349" i="1" s="1"/>
  <c r="AL348" i="1"/>
  <c r="AK350" i="1"/>
  <c r="AN350" i="1" s="1"/>
  <c r="AO350" i="1" l="1"/>
  <c r="AP350" i="1" s="1"/>
  <c r="AU350" i="1" s="1"/>
  <c r="AL349" i="1"/>
  <c r="AK351" i="1"/>
  <c r="AN351" i="1" s="1"/>
  <c r="AO351" i="1" l="1"/>
  <c r="AP351" i="1" s="1"/>
  <c r="AU351" i="1" s="1"/>
  <c r="AL350" i="1"/>
  <c r="AK352" i="1"/>
  <c r="AN352" i="1" s="1"/>
  <c r="AO352" i="1" l="1"/>
  <c r="AP352" i="1" s="1"/>
  <c r="AU352" i="1" s="1"/>
  <c r="AL351" i="1"/>
  <c r="AK353" i="1"/>
  <c r="AN353" i="1" s="1"/>
  <c r="AO353" i="1" l="1"/>
  <c r="AP353" i="1" s="1"/>
  <c r="AU353" i="1" s="1"/>
  <c r="AL352" i="1"/>
  <c r="AK354" i="1"/>
  <c r="AN354" i="1" s="1"/>
  <c r="AO354" i="1" l="1"/>
  <c r="AP354" i="1" s="1"/>
  <c r="AU354" i="1" s="1"/>
  <c r="AL353" i="1"/>
  <c r="AK355" i="1"/>
  <c r="AN355" i="1" s="1"/>
  <c r="AO355" i="1" l="1"/>
  <c r="AP355" i="1" s="1"/>
  <c r="AU355" i="1" s="1"/>
  <c r="AL354" i="1"/>
  <c r="AK356" i="1"/>
  <c r="AN356" i="1" s="1"/>
  <c r="AO356" i="1" l="1"/>
  <c r="AP356" i="1" s="1"/>
  <c r="AU356" i="1" s="1"/>
  <c r="AL355" i="1"/>
  <c r="AK357" i="1"/>
  <c r="AN357" i="1" s="1"/>
  <c r="AO357" i="1" l="1"/>
  <c r="AP357" i="1" s="1"/>
  <c r="AU357" i="1" s="1"/>
  <c r="AL356" i="1"/>
  <c r="AK358" i="1"/>
  <c r="AN358" i="1" s="1"/>
  <c r="AO358" i="1" l="1"/>
  <c r="AP358" i="1" s="1"/>
  <c r="AU358" i="1" s="1"/>
  <c r="AL357" i="1"/>
  <c r="AK359" i="1"/>
  <c r="AN359" i="1" s="1"/>
  <c r="AO359" i="1" l="1"/>
  <c r="AP359" i="1" s="1"/>
  <c r="AU359" i="1" s="1"/>
  <c r="AL358" i="1"/>
  <c r="AK360" i="1"/>
  <c r="AN360" i="1" s="1"/>
  <c r="AO360" i="1" l="1"/>
  <c r="AP360" i="1" s="1"/>
  <c r="AU360" i="1" s="1"/>
  <c r="AL359" i="1"/>
  <c r="AK361" i="1"/>
  <c r="AN361" i="1" s="1"/>
  <c r="AO361" i="1" l="1"/>
  <c r="AP361" i="1" s="1"/>
  <c r="AU361" i="1" s="1"/>
  <c r="AL360" i="1"/>
  <c r="AK362" i="1"/>
  <c r="AN362" i="1" s="1"/>
  <c r="AO362" i="1" l="1"/>
  <c r="AP362" i="1" s="1"/>
  <c r="AU362" i="1" s="1"/>
  <c r="AL361" i="1"/>
  <c r="AK363" i="1"/>
  <c r="AN363" i="1" s="1"/>
  <c r="AO363" i="1" l="1"/>
  <c r="AP363" i="1" s="1"/>
  <c r="AU363" i="1" s="1"/>
  <c r="AL362" i="1"/>
  <c r="AK364" i="1"/>
  <c r="AN364" i="1" s="1"/>
  <c r="AO364" i="1" l="1"/>
  <c r="AP364" i="1" s="1"/>
  <c r="AU364" i="1" s="1"/>
  <c r="AL363" i="1"/>
  <c r="AK365" i="1"/>
  <c r="AN365" i="1" s="1"/>
  <c r="AO365" i="1" l="1"/>
  <c r="AP365" i="1" s="1"/>
  <c r="AU365" i="1" s="1"/>
  <c r="AL364" i="1"/>
  <c r="AK366" i="1"/>
  <c r="AN366" i="1" s="1"/>
  <c r="AO366" i="1" l="1"/>
  <c r="AP366" i="1" s="1"/>
  <c r="AU366" i="1" s="1"/>
  <c r="AL365" i="1"/>
  <c r="AK367" i="1"/>
  <c r="AN367" i="1" s="1"/>
  <c r="AO367" i="1" l="1"/>
  <c r="AP367" i="1" s="1"/>
  <c r="AU367" i="1" s="1"/>
  <c r="AL366" i="1"/>
  <c r="AK368" i="1"/>
  <c r="AN368" i="1" s="1"/>
  <c r="AO368" i="1" l="1"/>
  <c r="AP368" i="1" s="1"/>
  <c r="AU368" i="1" s="1"/>
  <c r="AL367" i="1"/>
  <c r="AK369" i="1"/>
  <c r="AN369" i="1" s="1"/>
  <c r="AO369" i="1" l="1"/>
  <c r="AP369" i="1" s="1"/>
  <c r="AU369" i="1" s="1"/>
  <c r="AL368" i="1"/>
  <c r="AK370" i="1"/>
  <c r="AN370" i="1" s="1"/>
  <c r="AO370" i="1" l="1"/>
  <c r="AP370" i="1" s="1"/>
  <c r="AU370" i="1" s="1"/>
  <c r="AL369" i="1"/>
  <c r="AK371" i="1"/>
  <c r="AN371" i="1" s="1"/>
  <c r="AO371" i="1" l="1"/>
  <c r="AP371" i="1" s="1"/>
  <c r="AU371" i="1" s="1"/>
  <c r="AL370" i="1"/>
  <c r="AK372" i="1"/>
  <c r="AN372" i="1" s="1"/>
  <c r="AO372" i="1" l="1"/>
  <c r="AP372" i="1" s="1"/>
  <c r="AU372" i="1" s="1"/>
  <c r="AL371" i="1"/>
  <c r="AK373" i="1"/>
  <c r="AN373" i="1" s="1"/>
  <c r="AO373" i="1" l="1"/>
  <c r="AP373" i="1" s="1"/>
  <c r="AU373" i="1" s="1"/>
  <c r="AL372" i="1"/>
  <c r="AK374" i="1"/>
  <c r="AN374" i="1" s="1"/>
  <c r="AO374" i="1" l="1"/>
  <c r="AP374" i="1" s="1"/>
  <c r="AU374" i="1" s="1"/>
  <c r="AL373" i="1"/>
  <c r="AK375" i="1"/>
  <c r="AN375" i="1" s="1"/>
  <c r="AO375" i="1" l="1"/>
  <c r="AP375" i="1" s="1"/>
  <c r="AU375" i="1" s="1"/>
  <c r="AL374" i="1"/>
  <c r="AK376" i="1"/>
  <c r="AN376" i="1" s="1"/>
  <c r="AO376" i="1" l="1"/>
  <c r="AP376" i="1" s="1"/>
  <c r="AU376" i="1" s="1"/>
  <c r="AL375" i="1"/>
  <c r="AK377" i="1"/>
  <c r="AN377" i="1" s="1"/>
  <c r="AO377" i="1" l="1"/>
  <c r="AP377" i="1" s="1"/>
  <c r="AU377" i="1" s="1"/>
  <c r="AL376" i="1"/>
  <c r="AK378" i="1"/>
  <c r="AN378" i="1" s="1"/>
  <c r="AO378" i="1" l="1"/>
  <c r="AP378" i="1" s="1"/>
  <c r="AU378" i="1" s="1"/>
  <c r="AL377" i="1"/>
  <c r="AK379" i="1"/>
  <c r="AN379" i="1" s="1"/>
  <c r="AO379" i="1" l="1"/>
  <c r="AP379" i="1" s="1"/>
  <c r="AU379" i="1" s="1"/>
  <c r="AL378" i="1"/>
  <c r="AK380" i="1"/>
  <c r="AN380" i="1" s="1"/>
  <c r="AO380" i="1" l="1"/>
  <c r="AP380" i="1" s="1"/>
  <c r="AU380" i="1" s="1"/>
  <c r="AL379" i="1"/>
  <c r="AK381" i="1"/>
  <c r="AN381" i="1" s="1"/>
  <c r="AO381" i="1" l="1"/>
  <c r="AP381" i="1" s="1"/>
  <c r="AU381" i="1" s="1"/>
  <c r="AL380" i="1"/>
  <c r="AK382" i="1"/>
  <c r="AN382" i="1" s="1"/>
  <c r="AO382" i="1" l="1"/>
  <c r="AP382" i="1" s="1"/>
  <c r="AU382" i="1" s="1"/>
  <c r="AL381" i="1"/>
  <c r="AK383" i="1"/>
  <c r="AN383" i="1" s="1"/>
  <c r="AO383" i="1" l="1"/>
  <c r="AP383" i="1" s="1"/>
  <c r="AU383" i="1" s="1"/>
  <c r="AL382" i="1"/>
  <c r="AK384" i="1"/>
  <c r="AN384" i="1" s="1"/>
  <c r="AO384" i="1" l="1"/>
  <c r="AP384" i="1" s="1"/>
  <c r="AU384" i="1" s="1"/>
  <c r="AL383" i="1"/>
  <c r="AK385" i="1"/>
  <c r="AN385" i="1" s="1"/>
  <c r="AO385" i="1" l="1"/>
  <c r="AP385" i="1" s="1"/>
  <c r="AU385" i="1" s="1"/>
  <c r="AL384" i="1"/>
  <c r="AK386" i="1"/>
  <c r="AN386" i="1" s="1"/>
  <c r="AO386" i="1" l="1"/>
  <c r="AP386" i="1" s="1"/>
  <c r="AU386" i="1" s="1"/>
  <c r="AL385" i="1"/>
  <c r="AK387" i="1"/>
  <c r="AN387" i="1" s="1"/>
  <c r="AO387" i="1" l="1"/>
  <c r="AP387" i="1" s="1"/>
  <c r="AU387" i="1" s="1"/>
  <c r="AL386" i="1"/>
  <c r="AK388" i="1"/>
  <c r="AN388" i="1" s="1"/>
  <c r="AO388" i="1" l="1"/>
  <c r="AP388" i="1" s="1"/>
  <c r="AU388" i="1" s="1"/>
  <c r="AL387" i="1"/>
  <c r="AK389" i="1"/>
  <c r="AN389" i="1" s="1"/>
  <c r="AO389" i="1" l="1"/>
  <c r="AP389" i="1" s="1"/>
  <c r="AU389" i="1" s="1"/>
  <c r="AL388" i="1"/>
  <c r="AK390" i="1"/>
  <c r="AN390" i="1" s="1"/>
  <c r="AO390" i="1" l="1"/>
  <c r="AP390" i="1" s="1"/>
  <c r="AU390" i="1" s="1"/>
  <c r="AL389" i="1"/>
  <c r="AK391" i="1"/>
  <c r="AN391" i="1" s="1"/>
  <c r="AO391" i="1" l="1"/>
  <c r="AP391" i="1" s="1"/>
  <c r="AU391" i="1" s="1"/>
  <c r="AL390" i="1"/>
  <c r="AK392" i="1"/>
  <c r="AN392" i="1" s="1"/>
  <c r="AO392" i="1" l="1"/>
  <c r="AP392" i="1" s="1"/>
  <c r="AU392" i="1" s="1"/>
  <c r="AL391" i="1"/>
  <c r="AK393" i="1"/>
  <c r="AN393" i="1" s="1"/>
  <c r="AO393" i="1" l="1"/>
  <c r="AP393" i="1" s="1"/>
  <c r="AU393" i="1" s="1"/>
  <c r="AL392" i="1"/>
  <c r="AK394" i="1"/>
  <c r="AN394" i="1" s="1"/>
  <c r="AO394" i="1" l="1"/>
  <c r="AP394" i="1" s="1"/>
  <c r="AU394" i="1" s="1"/>
  <c r="AL393" i="1"/>
  <c r="AK395" i="1"/>
  <c r="AN395" i="1" s="1"/>
  <c r="AO395" i="1" l="1"/>
  <c r="AP395" i="1" s="1"/>
  <c r="AU395" i="1" s="1"/>
  <c r="AL394" i="1"/>
  <c r="AK396" i="1"/>
  <c r="AN396" i="1" s="1"/>
  <c r="AO396" i="1" l="1"/>
  <c r="AP396" i="1" s="1"/>
  <c r="AU396" i="1" s="1"/>
  <c r="AL395" i="1"/>
  <c r="AK397" i="1"/>
  <c r="AN397" i="1" s="1"/>
  <c r="AO397" i="1" l="1"/>
  <c r="AP397" i="1" s="1"/>
  <c r="AU397" i="1" s="1"/>
  <c r="AL396" i="1"/>
  <c r="AK398" i="1"/>
  <c r="AN398" i="1" s="1"/>
  <c r="AO398" i="1" l="1"/>
  <c r="AP398" i="1" s="1"/>
  <c r="AU398" i="1" s="1"/>
  <c r="AL397" i="1"/>
  <c r="AK399" i="1"/>
  <c r="AN399" i="1" s="1"/>
  <c r="AO399" i="1" l="1"/>
  <c r="AP399" i="1" s="1"/>
  <c r="AU399" i="1" s="1"/>
  <c r="AL398" i="1"/>
  <c r="AK400" i="1"/>
  <c r="AN400" i="1" s="1"/>
  <c r="AO400" i="1" l="1"/>
  <c r="AP400" i="1" s="1"/>
  <c r="AU400" i="1" s="1"/>
  <c r="AL399" i="1"/>
  <c r="AK401" i="1"/>
  <c r="AN401" i="1" s="1"/>
  <c r="AO401" i="1" l="1"/>
  <c r="AP401" i="1" s="1"/>
  <c r="AU401" i="1" s="1"/>
  <c r="AL400" i="1"/>
  <c r="AK402" i="1"/>
  <c r="AN402" i="1" s="1"/>
  <c r="AO402" i="1" l="1"/>
  <c r="AP402" i="1" s="1"/>
  <c r="AU402" i="1" s="1"/>
  <c r="AL401" i="1"/>
  <c r="AK403" i="1"/>
  <c r="AN403" i="1" s="1"/>
  <c r="AO403" i="1" l="1"/>
  <c r="AP403" i="1" s="1"/>
  <c r="AU403" i="1" s="1"/>
  <c r="AL402" i="1"/>
  <c r="AK404" i="1"/>
  <c r="AN404" i="1" s="1"/>
  <c r="AO404" i="1" l="1"/>
  <c r="AP404" i="1" s="1"/>
  <c r="AU404" i="1" s="1"/>
  <c r="AL403" i="1"/>
  <c r="AK405" i="1"/>
  <c r="AN405" i="1" s="1"/>
  <c r="AO405" i="1" l="1"/>
  <c r="AP405" i="1" s="1"/>
  <c r="AU405" i="1" s="1"/>
  <c r="AL404" i="1"/>
  <c r="AK406" i="1"/>
  <c r="AN406" i="1" s="1"/>
  <c r="AO406" i="1" l="1"/>
  <c r="AP406" i="1" s="1"/>
  <c r="AU406" i="1" s="1"/>
  <c r="AL405" i="1"/>
  <c r="AK407" i="1"/>
  <c r="AN407" i="1" s="1"/>
  <c r="AO407" i="1" l="1"/>
  <c r="AP407" i="1" s="1"/>
  <c r="AU407" i="1" s="1"/>
  <c r="AL406" i="1"/>
  <c r="AK408" i="1"/>
  <c r="AN408" i="1" s="1"/>
  <c r="AO408" i="1" l="1"/>
  <c r="AP408" i="1" s="1"/>
  <c r="AU408" i="1" s="1"/>
  <c r="AL407" i="1"/>
  <c r="AK409" i="1"/>
  <c r="AN409" i="1" s="1"/>
  <c r="AO409" i="1" l="1"/>
  <c r="AL408" i="1"/>
  <c r="AP409" i="1" l="1"/>
  <c r="AU409" i="1" s="1"/>
  <c r="AP9" i="1"/>
  <c r="AP10" i="1"/>
  <c r="AP11" i="1"/>
  <c r="AP12" i="1"/>
  <c r="AP13" i="1"/>
  <c r="AP14" i="1"/>
  <c r="AP18" i="1"/>
  <c r="AP16" i="1"/>
  <c r="AP19" i="1"/>
  <c r="AP15" i="1"/>
  <c r="AP17" i="1"/>
  <c r="AP20" i="1"/>
  <c r="AP21" i="1"/>
  <c r="AP23" i="1"/>
  <c r="AP24" i="1"/>
  <c r="AP22" i="1"/>
  <c r="AP25" i="1"/>
  <c r="AP26" i="1"/>
  <c r="AP27" i="1"/>
  <c r="AP28" i="1"/>
  <c r="AP30" i="1"/>
  <c r="AP29" i="1"/>
  <c r="AP32" i="1"/>
  <c r="AP31" i="1"/>
  <c r="AP35" i="1"/>
  <c r="AP34" i="1"/>
  <c r="AP33" i="1"/>
  <c r="AP38" i="1"/>
  <c r="AP37" i="1"/>
  <c r="AP36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9" i="1"/>
  <c r="AP58" i="1"/>
  <c r="AP60" i="1"/>
  <c r="AP62" i="1"/>
  <c r="AP61" i="1"/>
  <c r="AP63" i="1"/>
  <c r="AP64" i="1"/>
  <c r="AP65" i="1"/>
  <c r="AP66" i="1"/>
  <c r="AP68" i="1"/>
  <c r="AP67" i="1"/>
  <c r="AP69" i="1"/>
  <c r="AP70" i="1"/>
  <c r="AP71" i="1"/>
  <c r="AP75" i="1"/>
  <c r="AP72" i="1"/>
  <c r="AP73" i="1"/>
  <c r="AP74" i="1"/>
  <c r="AP77" i="1"/>
  <c r="AP76" i="1"/>
  <c r="AP78" i="1"/>
  <c r="AP80" i="1"/>
  <c r="AP79" i="1"/>
  <c r="AP81" i="1"/>
  <c r="AP82" i="1"/>
  <c r="AP83" i="1"/>
  <c r="AP85" i="1"/>
  <c r="AP84" i="1"/>
  <c r="AP89" i="1"/>
  <c r="AP86" i="1"/>
  <c r="AP87" i="1"/>
  <c r="AP88" i="1"/>
  <c r="AP93" i="1"/>
  <c r="AP90" i="1"/>
  <c r="AP91" i="1"/>
  <c r="AP92" i="1"/>
  <c r="AP94" i="1"/>
  <c r="AP95" i="1"/>
  <c r="AP96" i="1"/>
  <c r="AP97" i="1"/>
  <c r="AP98" i="1"/>
  <c r="AP100" i="1"/>
  <c r="AP99" i="1"/>
  <c r="AP101" i="1"/>
  <c r="AP102" i="1"/>
  <c r="AP103" i="1"/>
  <c r="AP104" i="1"/>
  <c r="AP105" i="1"/>
  <c r="AP106" i="1"/>
  <c r="AP107" i="1"/>
  <c r="AP108" i="1"/>
  <c r="AP109" i="1"/>
  <c r="AP110" i="1"/>
  <c r="AP114" i="1"/>
  <c r="AP111" i="1"/>
  <c r="AP112" i="1"/>
  <c r="AP113" i="1"/>
  <c r="AP116" i="1"/>
  <c r="AP117" i="1"/>
  <c r="AP115" i="1"/>
  <c r="AP118" i="1"/>
  <c r="AP119" i="1"/>
  <c r="AP120" i="1"/>
  <c r="AP122" i="1"/>
  <c r="AP121" i="1"/>
  <c r="AP123" i="1"/>
  <c r="AP124" i="1"/>
  <c r="AP126" i="1"/>
  <c r="AP125" i="1"/>
  <c r="AP127" i="1"/>
  <c r="AP128" i="1"/>
  <c r="AP129" i="1"/>
  <c r="AP130" i="1"/>
  <c r="AP132" i="1"/>
  <c r="AP134" i="1"/>
  <c r="AP131" i="1"/>
  <c r="AP133" i="1"/>
  <c r="AP136" i="1"/>
  <c r="AP138" i="1"/>
  <c r="AP135" i="1"/>
  <c r="AP137" i="1"/>
  <c r="AP140" i="1"/>
  <c r="AP139" i="1"/>
  <c r="AP142" i="1"/>
  <c r="AP141" i="1"/>
  <c r="AP144" i="1"/>
  <c r="AP143" i="1"/>
  <c r="AP145" i="1"/>
  <c r="AP147" i="1"/>
  <c r="AP146" i="1"/>
  <c r="AP148" i="1"/>
  <c r="AP150" i="1"/>
  <c r="AP149" i="1"/>
  <c r="AP151" i="1"/>
  <c r="AP152" i="1"/>
  <c r="AP153" i="1"/>
  <c r="AP154" i="1"/>
  <c r="AP155" i="1"/>
  <c r="AP156" i="1"/>
  <c r="AP158" i="1"/>
  <c r="AP157" i="1"/>
  <c r="AP160" i="1"/>
  <c r="AP159" i="1"/>
  <c r="AP161" i="1"/>
  <c r="AP162" i="1"/>
  <c r="AP163" i="1"/>
  <c r="AP164" i="1"/>
  <c r="AP166" i="1"/>
  <c r="AP165" i="1"/>
  <c r="AP167" i="1"/>
  <c r="AP168" i="1"/>
  <c r="AP171" i="1"/>
  <c r="AP170" i="1"/>
  <c r="AP169" i="1"/>
  <c r="AP172" i="1"/>
  <c r="AP173" i="1"/>
  <c r="AP174" i="1"/>
  <c r="AP175" i="1"/>
  <c r="AP177" i="1"/>
  <c r="AP176" i="1"/>
  <c r="AP178" i="1"/>
  <c r="AP179" i="1"/>
  <c r="AP180" i="1"/>
  <c r="AP181" i="1"/>
  <c r="AP182" i="1"/>
  <c r="AP183" i="1"/>
  <c r="AP186" i="1"/>
  <c r="AP185" i="1"/>
  <c r="AP184" i="1"/>
  <c r="AP188" i="1"/>
  <c r="AP187" i="1"/>
  <c r="AP189" i="1"/>
  <c r="AP190" i="1"/>
  <c r="AP191" i="1"/>
  <c r="AP192" i="1"/>
  <c r="AP193" i="1"/>
  <c r="AP194" i="1"/>
  <c r="AP195" i="1"/>
  <c r="AP197" i="1"/>
  <c r="AP196" i="1"/>
  <c r="AP198" i="1"/>
  <c r="AP199" i="1"/>
  <c r="AP201" i="1"/>
  <c r="AP200" i="1"/>
  <c r="AP202" i="1"/>
  <c r="AP203" i="1"/>
  <c r="AP204" i="1"/>
  <c r="AP205" i="1"/>
  <c r="AP206" i="1"/>
  <c r="AP207" i="1"/>
  <c r="AP208" i="1"/>
  <c r="AP209" i="1"/>
  <c r="AL307" i="1"/>
  <c r="AL306" i="1"/>
  <c r="AL302" i="1"/>
  <c r="AL300" i="1"/>
  <c r="AL309" i="1"/>
  <c r="AL308" i="1"/>
  <c r="AL305" i="1"/>
  <c r="AL303" i="1"/>
  <c r="AL301" i="1"/>
  <c r="AL298" i="1"/>
  <c r="AL299" i="1"/>
  <c r="AL293" i="1"/>
  <c r="AL292" i="1"/>
  <c r="AL290" i="1"/>
  <c r="AL289" i="1"/>
  <c r="AL285" i="1"/>
  <c r="AL286" i="1"/>
  <c r="AL281" i="1"/>
  <c r="AL283" i="1"/>
  <c r="AL280" i="1"/>
  <c r="AL277" i="1"/>
  <c r="AL275" i="1"/>
  <c r="AL273" i="1"/>
  <c r="AL271" i="1"/>
  <c r="AL269" i="1"/>
  <c r="AL267" i="1"/>
  <c r="AL265" i="1"/>
  <c r="AL263" i="1"/>
  <c r="AL261" i="1"/>
  <c r="AL259" i="1"/>
  <c r="AL257" i="1"/>
  <c r="AL255" i="1"/>
  <c r="AL254" i="1"/>
  <c r="AL251" i="1"/>
  <c r="AL249" i="1"/>
  <c r="AL245" i="1"/>
  <c r="AL246" i="1"/>
  <c r="AL241" i="1"/>
  <c r="AL243" i="1"/>
  <c r="AL240" i="1"/>
  <c r="AL237" i="1"/>
  <c r="AL235" i="1"/>
  <c r="AL232" i="1"/>
  <c r="AL231" i="1"/>
  <c r="AL228" i="1"/>
  <c r="AL227" i="1"/>
  <c r="AL225" i="1"/>
  <c r="AL224" i="1"/>
  <c r="AL221" i="1"/>
  <c r="AL219" i="1"/>
  <c r="AL217" i="1"/>
  <c r="AL213" i="1"/>
  <c r="AL210" i="1"/>
  <c r="AL304" i="1"/>
  <c r="AL297" i="1"/>
  <c r="AL296" i="1"/>
  <c r="AL295" i="1"/>
  <c r="AL294" i="1"/>
  <c r="AL291" i="1"/>
  <c r="AL288" i="1"/>
  <c r="AL287" i="1"/>
  <c r="AL284" i="1"/>
  <c r="AL282" i="1"/>
  <c r="AL279" i="1"/>
  <c r="AL278" i="1"/>
  <c r="AL276" i="1"/>
  <c r="AL274" i="1"/>
  <c r="AL272" i="1"/>
  <c r="AL270" i="1"/>
  <c r="AL268" i="1"/>
  <c r="AL266" i="1"/>
  <c r="AL264" i="1"/>
  <c r="AL262" i="1"/>
  <c r="AL260" i="1"/>
  <c r="AL258" i="1"/>
  <c r="AL256" i="1"/>
  <c r="AL253" i="1"/>
  <c r="AL252" i="1"/>
  <c r="AL250" i="1"/>
  <c r="AL248" i="1"/>
  <c r="AL247" i="1"/>
  <c r="AL244" i="1"/>
  <c r="AL242" i="1"/>
  <c r="AL239" i="1"/>
  <c r="AL238" i="1"/>
  <c r="AL236" i="1"/>
  <c r="AL233" i="1"/>
  <c r="AL234" i="1"/>
  <c r="AL229" i="1"/>
  <c r="AL230" i="1"/>
  <c r="AL226" i="1"/>
  <c r="AL223" i="1"/>
  <c r="AL222" i="1"/>
  <c r="AL220" i="1"/>
  <c r="AL218" i="1"/>
  <c r="AL216" i="1"/>
  <c r="AL215" i="1"/>
  <c r="AL214" i="1"/>
  <c r="AL211" i="1"/>
  <c r="AL212" i="1"/>
  <c r="AL409" i="1"/>
  <c r="AU209" i="1" l="1"/>
  <c r="AL209" i="1" s="1"/>
  <c r="AU194" i="1"/>
  <c r="AL194" i="1" s="1"/>
  <c r="AU147" i="1"/>
  <c r="AL147" i="1" s="1"/>
  <c r="AU170" i="1"/>
  <c r="AL170" i="1" s="1"/>
  <c r="AU202" i="1"/>
  <c r="AL202" i="1" s="1"/>
  <c r="AU199" i="1"/>
  <c r="AL199" i="1" s="1"/>
  <c r="AU188" i="1"/>
  <c r="AL188" i="1" s="1"/>
  <c r="AU175" i="1"/>
  <c r="AL175" i="1" s="1"/>
  <c r="AU163" i="1"/>
  <c r="AL163" i="1" s="1"/>
  <c r="AU151" i="1"/>
  <c r="AL151" i="1" s="1"/>
  <c r="AU140" i="1"/>
  <c r="AL140" i="1" s="1"/>
  <c r="AU127" i="1"/>
  <c r="AL127" i="1" s="1"/>
  <c r="AU116" i="1"/>
  <c r="AL116" i="1" s="1"/>
  <c r="AU103" i="1"/>
  <c r="AL103" i="1" s="1"/>
  <c r="AU90" i="1"/>
  <c r="AL90" i="1" s="1"/>
  <c r="AU80" i="1"/>
  <c r="AL80" i="1" s="1"/>
  <c r="AU68" i="1"/>
  <c r="AL68" i="1" s="1"/>
  <c r="AU55" i="1"/>
  <c r="AL55" i="1" s="1"/>
  <c r="AU43" i="1"/>
  <c r="AL43" i="1" s="1"/>
  <c r="AU32" i="1"/>
  <c r="AU17" i="1"/>
  <c r="AU198" i="1"/>
  <c r="AL198" i="1" s="1"/>
  <c r="AU184" i="1"/>
  <c r="AL184" i="1" s="1"/>
  <c r="AU174" i="1"/>
  <c r="AL174" i="1" s="1"/>
  <c r="AU162" i="1"/>
  <c r="AL162" i="1" s="1"/>
  <c r="AU149" i="1"/>
  <c r="AL149" i="1" s="1"/>
  <c r="AU137" i="1"/>
  <c r="AL137" i="1" s="1"/>
  <c r="AU125" i="1"/>
  <c r="AL125" i="1" s="1"/>
  <c r="AU113" i="1"/>
  <c r="AL113" i="1" s="1"/>
  <c r="AU102" i="1"/>
  <c r="AL102" i="1" s="1"/>
  <c r="AU93" i="1"/>
  <c r="AL93" i="1" s="1"/>
  <c r="AU78" i="1"/>
  <c r="AL78" i="1" s="1"/>
  <c r="AU66" i="1"/>
  <c r="AL66" i="1" s="1"/>
  <c r="AU54" i="1"/>
  <c r="AL54" i="1" s="1"/>
  <c r="AU42" i="1"/>
  <c r="AL42" i="1" s="1"/>
  <c r="AU29" i="1"/>
  <c r="AU15" i="1"/>
  <c r="AU196" i="1"/>
  <c r="AL196" i="1" s="1"/>
  <c r="AU185" i="1"/>
  <c r="AL185" i="1" s="1"/>
  <c r="AU173" i="1"/>
  <c r="AL173" i="1" s="1"/>
  <c r="AU161" i="1"/>
  <c r="AL161" i="1" s="1"/>
  <c r="AU150" i="1"/>
  <c r="AL150" i="1" s="1"/>
  <c r="AU135" i="1"/>
  <c r="AL135" i="1" s="1"/>
  <c r="AU126" i="1"/>
  <c r="AL126" i="1" s="1"/>
  <c r="AU112" i="1"/>
  <c r="AL112" i="1" s="1"/>
  <c r="AU101" i="1"/>
  <c r="AL101" i="1" s="1"/>
  <c r="AU88" i="1"/>
  <c r="AL88" i="1" s="1"/>
  <c r="AU76" i="1"/>
  <c r="AL76" i="1" s="1"/>
  <c r="AU65" i="1"/>
  <c r="AL65" i="1" s="1"/>
  <c r="AU53" i="1"/>
  <c r="AL53" i="1" s="1"/>
  <c r="AU41" i="1"/>
  <c r="AL41" i="1" s="1"/>
  <c r="AU30" i="1"/>
  <c r="AU19" i="1"/>
  <c r="AU208" i="1"/>
  <c r="AL208" i="1" s="1"/>
  <c r="AU197" i="1"/>
  <c r="AL197" i="1" s="1"/>
  <c r="AU186" i="1"/>
  <c r="AL186" i="1" s="1"/>
  <c r="AU172" i="1"/>
  <c r="AL172" i="1" s="1"/>
  <c r="AU159" i="1"/>
  <c r="AL159" i="1" s="1"/>
  <c r="AU148" i="1"/>
  <c r="AL148" i="1" s="1"/>
  <c r="AU138" i="1"/>
  <c r="AL138" i="1" s="1"/>
  <c r="AU124" i="1"/>
  <c r="AL124" i="1" s="1"/>
  <c r="AU111" i="1"/>
  <c r="AL111" i="1" s="1"/>
  <c r="AU99" i="1"/>
  <c r="AL99" i="1" s="1"/>
  <c r="AU87" i="1"/>
  <c r="AL87" i="1" s="1"/>
  <c r="AU77" i="1"/>
  <c r="AL77" i="1" s="1"/>
  <c r="AU64" i="1"/>
  <c r="AL64" i="1" s="1"/>
  <c r="AU52" i="1"/>
  <c r="AL52" i="1" s="1"/>
  <c r="AU40" i="1"/>
  <c r="AL40" i="1" s="1"/>
  <c r="AU28" i="1"/>
  <c r="AU16" i="1"/>
  <c r="AU207" i="1"/>
  <c r="AL207" i="1" s="1"/>
  <c r="AU195" i="1"/>
  <c r="AL195" i="1" s="1"/>
  <c r="AU183" i="1"/>
  <c r="AL183" i="1" s="1"/>
  <c r="AU169" i="1"/>
  <c r="AL169" i="1" s="1"/>
  <c r="AU160" i="1"/>
  <c r="AL160" i="1" s="1"/>
  <c r="AU146" i="1"/>
  <c r="AL146" i="1" s="1"/>
  <c r="AU136" i="1"/>
  <c r="AL136" i="1" s="1"/>
  <c r="AU123" i="1"/>
  <c r="AL123" i="1" s="1"/>
  <c r="AU114" i="1"/>
  <c r="AL114" i="1" s="1"/>
  <c r="AU100" i="1"/>
  <c r="AL100" i="1" s="1"/>
  <c r="AU86" i="1"/>
  <c r="AL86" i="1" s="1"/>
  <c r="AU74" i="1"/>
  <c r="AL74" i="1" s="1"/>
  <c r="AU63" i="1"/>
  <c r="AL63" i="1" s="1"/>
  <c r="AU51" i="1"/>
  <c r="AL51" i="1" s="1"/>
  <c r="AU39" i="1"/>
  <c r="AL39" i="1" s="1"/>
  <c r="AU27" i="1"/>
  <c r="AU18" i="1"/>
  <c r="AU133" i="1"/>
  <c r="AL133" i="1" s="1"/>
  <c r="AU121" i="1"/>
  <c r="AL121" i="1" s="1"/>
  <c r="AU110" i="1"/>
  <c r="AL110" i="1" s="1"/>
  <c r="AU98" i="1"/>
  <c r="AL98" i="1" s="1"/>
  <c r="AU89" i="1"/>
  <c r="AL89" i="1" s="1"/>
  <c r="AU73" i="1"/>
  <c r="AL73" i="1" s="1"/>
  <c r="AU61" i="1"/>
  <c r="AL61" i="1" s="1"/>
  <c r="AU50" i="1"/>
  <c r="AL50" i="1" s="1"/>
  <c r="AU36" i="1"/>
  <c r="AL36" i="1" s="1"/>
  <c r="AU26" i="1"/>
  <c r="AU14" i="1"/>
  <c r="AU157" i="1"/>
  <c r="AL157" i="1" s="1"/>
  <c r="AU205" i="1"/>
  <c r="AL205" i="1" s="1"/>
  <c r="AU193" i="1"/>
  <c r="AL193" i="1" s="1"/>
  <c r="AU181" i="1"/>
  <c r="AL181" i="1" s="1"/>
  <c r="AU171" i="1"/>
  <c r="AL171" i="1" s="1"/>
  <c r="AU158" i="1"/>
  <c r="AL158" i="1" s="1"/>
  <c r="AU145" i="1"/>
  <c r="AL145" i="1" s="1"/>
  <c r="AU131" i="1"/>
  <c r="AL131" i="1" s="1"/>
  <c r="AU122" i="1"/>
  <c r="AL122" i="1" s="1"/>
  <c r="AU109" i="1"/>
  <c r="AL109" i="1" s="1"/>
  <c r="AU97" i="1"/>
  <c r="AL97" i="1" s="1"/>
  <c r="AU84" i="1"/>
  <c r="AL84" i="1" s="1"/>
  <c r="AU72" i="1"/>
  <c r="AL72" i="1" s="1"/>
  <c r="AU62" i="1"/>
  <c r="AL62" i="1" s="1"/>
  <c r="AU49" i="1"/>
  <c r="AL49" i="1" s="1"/>
  <c r="AU37" i="1"/>
  <c r="AL37" i="1" s="1"/>
  <c r="AU25" i="1"/>
  <c r="AL25" i="1" s="1"/>
  <c r="AU13" i="1"/>
  <c r="AU204" i="1"/>
  <c r="AL204" i="1" s="1"/>
  <c r="AU192" i="1"/>
  <c r="AL192" i="1" s="1"/>
  <c r="AU180" i="1"/>
  <c r="AL180" i="1" s="1"/>
  <c r="AU168" i="1"/>
  <c r="AL168" i="1" s="1"/>
  <c r="AU156" i="1"/>
  <c r="AL156" i="1" s="1"/>
  <c r="AU143" i="1"/>
  <c r="AL143" i="1" s="1"/>
  <c r="AU134" i="1"/>
  <c r="AL134" i="1" s="1"/>
  <c r="AU120" i="1"/>
  <c r="AL120" i="1" s="1"/>
  <c r="AU108" i="1"/>
  <c r="AL108" i="1" s="1"/>
  <c r="AU96" i="1"/>
  <c r="AL96" i="1" s="1"/>
  <c r="AU85" i="1"/>
  <c r="AL85" i="1" s="1"/>
  <c r="AU75" i="1"/>
  <c r="AL75" i="1" s="1"/>
  <c r="AU60" i="1"/>
  <c r="AL60" i="1" s="1"/>
  <c r="AU48" i="1"/>
  <c r="AL48" i="1" s="1"/>
  <c r="AU38" i="1"/>
  <c r="AL38" i="1" s="1"/>
  <c r="AU22" i="1"/>
  <c r="AU12" i="1"/>
  <c r="AL12" i="1" s="1"/>
  <c r="AU203" i="1"/>
  <c r="AL203" i="1" s="1"/>
  <c r="AU191" i="1"/>
  <c r="AL191" i="1" s="1"/>
  <c r="AU179" i="1"/>
  <c r="AL179" i="1" s="1"/>
  <c r="AU167" i="1"/>
  <c r="AL167" i="1" s="1"/>
  <c r="AU155" i="1"/>
  <c r="AL155" i="1" s="1"/>
  <c r="AU144" i="1"/>
  <c r="AL144" i="1" s="1"/>
  <c r="AU132" i="1"/>
  <c r="AL132" i="1" s="1"/>
  <c r="AU119" i="1"/>
  <c r="AL119" i="1" s="1"/>
  <c r="AU107" i="1"/>
  <c r="AL107" i="1" s="1"/>
  <c r="AU95" i="1"/>
  <c r="AL95" i="1" s="1"/>
  <c r="AU83" i="1"/>
  <c r="AL83" i="1" s="1"/>
  <c r="AE10" i="1" s="1"/>
  <c r="B81" i="2" s="1"/>
  <c r="AU71" i="1"/>
  <c r="AL71" i="1" s="1"/>
  <c r="AU58" i="1"/>
  <c r="AL58" i="1" s="1"/>
  <c r="AU47" i="1"/>
  <c r="AL47" i="1" s="1"/>
  <c r="AU33" i="1"/>
  <c r="AU24" i="1"/>
  <c r="AL24" i="1" s="1"/>
  <c r="AU11" i="1"/>
  <c r="AU190" i="1"/>
  <c r="AL190" i="1" s="1"/>
  <c r="AU178" i="1"/>
  <c r="AL178" i="1" s="1"/>
  <c r="AU165" i="1"/>
  <c r="AL165" i="1" s="1"/>
  <c r="AU154" i="1"/>
  <c r="AL154" i="1" s="1"/>
  <c r="AU141" i="1"/>
  <c r="AL141" i="1" s="1"/>
  <c r="AU130" i="1"/>
  <c r="AL130" i="1" s="1"/>
  <c r="AU118" i="1"/>
  <c r="AL118" i="1" s="1"/>
  <c r="AU106" i="1"/>
  <c r="AL106" i="1" s="1"/>
  <c r="AU94" i="1"/>
  <c r="AL94" i="1" s="1"/>
  <c r="AU82" i="1"/>
  <c r="AL82" i="1" s="1"/>
  <c r="AU70" i="1"/>
  <c r="AL70" i="1" s="1"/>
  <c r="AU59" i="1"/>
  <c r="AL59" i="1" s="1"/>
  <c r="AU46" i="1"/>
  <c r="AL46" i="1" s="1"/>
  <c r="AU34" i="1"/>
  <c r="AU23" i="1"/>
  <c r="AU10" i="1"/>
  <c r="AL10" i="1" s="1"/>
  <c r="AU206" i="1"/>
  <c r="AL206" i="1" s="1"/>
  <c r="AU200" i="1"/>
  <c r="AL200" i="1" s="1"/>
  <c r="AU189" i="1"/>
  <c r="AL189" i="1" s="1"/>
  <c r="AU176" i="1"/>
  <c r="AL176" i="1" s="1"/>
  <c r="AU166" i="1"/>
  <c r="AL166" i="1" s="1"/>
  <c r="AU153" i="1"/>
  <c r="AL153" i="1" s="1"/>
  <c r="AU142" i="1"/>
  <c r="AL142" i="1" s="1"/>
  <c r="AU129" i="1"/>
  <c r="AL129" i="1" s="1"/>
  <c r="AU115" i="1"/>
  <c r="AL115" i="1" s="1"/>
  <c r="AU105" i="1"/>
  <c r="AL105" i="1" s="1"/>
  <c r="AU92" i="1"/>
  <c r="AL92" i="1" s="1"/>
  <c r="AU81" i="1"/>
  <c r="AL81" i="1" s="1"/>
  <c r="AU69" i="1"/>
  <c r="AL69" i="1" s="1"/>
  <c r="AU57" i="1"/>
  <c r="AL57" i="1" s="1"/>
  <c r="AU45" i="1"/>
  <c r="AL45" i="1" s="1"/>
  <c r="AU35" i="1"/>
  <c r="AU21" i="1"/>
  <c r="AU9" i="1"/>
  <c r="AL9" i="1" s="1"/>
  <c r="AU182" i="1"/>
  <c r="AL182" i="1" s="1"/>
  <c r="AU201" i="1"/>
  <c r="AL201" i="1" s="1"/>
  <c r="AU187" i="1"/>
  <c r="AL187" i="1" s="1"/>
  <c r="AU177" i="1"/>
  <c r="AL177" i="1" s="1"/>
  <c r="AU164" i="1"/>
  <c r="AL164" i="1" s="1"/>
  <c r="AU152" i="1"/>
  <c r="AL152" i="1" s="1"/>
  <c r="AU139" i="1"/>
  <c r="AL139" i="1" s="1"/>
  <c r="AU128" i="1"/>
  <c r="AL128" i="1" s="1"/>
  <c r="AU117" i="1"/>
  <c r="AL117" i="1" s="1"/>
  <c r="AU104" i="1"/>
  <c r="AL104" i="1" s="1"/>
  <c r="AU91" i="1"/>
  <c r="AL91" i="1" s="1"/>
  <c r="AU79" i="1"/>
  <c r="AL79" i="1" s="1"/>
  <c r="AU67" i="1"/>
  <c r="AL67" i="1" s="1"/>
  <c r="AU56" i="1"/>
  <c r="AL56" i="1" s="1"/>
  <c r="AU44" i="1"/>
  <c r="AL44" i="1" s="1"/>
  <c r="AU31" i="1"/>
  <c r="AU20" i="1"/>
  <c r="AL11" i="1"/>
  <c r="AL13" i="1"/>
  <c r="AE19" i="1" l="1"/>
  <c r="AB14" i="1"/>
  <c r="B75" i="2" s="1"/>
  <c r="V18" i="1"/>
  <c r="AL22" i="1"/>
  <c r="S40" i="1"/>
  <c r="P32" i="1"/>
  <c r="M27" i="1"/>
  <c r="B106" i="2" s="1"/>
  <c r="S32" i="1"/>
  <c r="S26" i="1"/>
  <c r="AE21" i="1"/>
  <c r="AE11" i="1"/>
  <c r="B82" i="2" s="1"/>
  <c r="AB15" i="1"/>
  <c r="S7" i="1"/>
  <c r="B38" i="2" s="1"/>
  <c r="M11" i="1"/>
  <c r="B22" i="2" s="1"/>
  <c r="S10" i="1"/>
  <c r="B41" i="2" s="1"/>
  <c r="P33" i="1"/>
  <c r="J36" i="1"/>
  <c r="Y20" i="1"/>
  <c r="P20" i="1"/>
  <c r="J38" i="1"/>
  <c r="Y24" i="1"/>
  <c r="P21" i="1"/>
  <c r="Y7" i="1"/>
  <c r="B58" i="2" s="1"/>
  <c r="S15" i="1"/>
  <c r="B46" i="2" s="1"/>
  <c r="P18" i="1"/>
  <c r="B107" i="2" s="1"/>
  <c r="S14" i="1"/>
  <c r="B45" i="2" s="1"/>
  <c r="S11" i="1"/>
  <c r="B42" i="2" s="1"/>
  <c r="P13" i="1"/>
  <c r="B34" i="2" s="1"/>
  <c r="S30" i="1"/>
  <c r="M33" i="1"/>
  <c r="M36" i="1"/>
  <c r="AE24" i="1"/>
  <c r="AB19" i="1"/>
  <c r="AL27" i="1" s="1"/>
  <c r="M14" i="1" s="1"/>
  <c r="B25" i="2" s="1"/>
  <c r="V27" i="1"/>
  <c r="S18" i="1"/>
  <c r="S34" i="1"/>
  <c r="M39" i="1"/>
  <c r="J30" i="1"/>
  <c r="AB25" i="1"/>
  <c r="AL33" i="1" s="1"/>
  <c r="V26" i="1"/>
  <c r="S23" i="1"/>
  <c r="M19" i="1"/>
  <c r="B98" i="2" s="1"/>
  <c r="Y15" i="1"/>
  <c r="B66" i="2" s="1"/>
  <c r="M18" i="1"/>
  <c r="B97" i="2" s="1"/>
  <c r="Y14" i="1"/>
  <c r="B65" i="2" s="1"/>
  <c r="J23" i="1"/>
  <c r="B92" i="2" s="1"/>
  <c r="V15" i="1"/>
  <c r="B56" i="2" s="1"/>
  <c r="J22" i="1"/>
  <c r="B91" i="2" s="1"/>
  <c r="V14" i="1"/>
  <c r="B55" i="2" s="1"/>
  <c r="J6" i="1"/>
  <c r="B7" i="2" s="1"/>
  <c r="S8" i="1"/>
  <c r="B39" i="2" s="1"/>
  <c r="S12" i="1"/>
  <c r="B43" i="2" s="1"/>
  <c r="V10" i="1"/>
  <c r="B51" i="2" s="1"/>
  <c r="Y12" i="1"/>
  <c r="B63" i="2" s="1"/>
  <c r="AB10" i="1"/>
  <c r="AE8" i="1"/>
  <c r="B79" i="2" s="1"/>
  <c r="J18" i="1"/>
  <c r="B87" i="2" s="1"/>
  <c r="J26" i="1"/>
  <c r="B95" i="2" s="1"/>
  <c r="M24" i="1"/>
  <c r="B103" i="2" s="1"/>
  <c r="V7" i="1"/>
  <c r="B48" i="2" s="1"/>
  <c r="V11" i="1"/>
  <c r="B52" i="2" s="1"/>
  <c r="Y13" i="1"/>
  <c r="B64" i="2" s="1"/>
  <c r="AB11" i="1"/>
  <c r="AE9" i="1"/>
  <c r="B80" i="2" s="1"/>
  <c r="J19" i="1"/>
  <c r="B88" i="2" s="1"/>
  <c r="J27" i="1"/>
  <c r="B96" i="2" s="1"/>
  <c r="M25" i="1"/>
  <c r="B104" i="2" s="1"/>
  <c r="V8" i="1"/>
  <c r="B49" i="2" s="1"/>
  <c r="Y8" i="1"/>
  <c r="B59" i="2" s="1"/>
  <c r="AB8" i="1"/>
  <c r="AE6" i="1"/>
  <c r="B77" i="2" s="1"/>
  <c r="AE14" i="1"/>
  <c r="B85" i="2" s="1"/>
  <c r="J24" i="1"/>
  <c r="B93" i="2" s="1"/>
  <c r="M22" i="1"/>
  <c r="B101" i="2" s="1"/>
  <c r="S13" i="1"/>
  <c r="B44" i="2" s="1"/>
  <c r="V9" i="1"/>
  <c r="B50" i="2" s="1"/>
  <c r="Y9" i="1"/>
  <c r="B60" i="2" s="1"/>
  <c r="AB9" i="1"/>
  <c r="AE7" i="1"/>
  <c r="B78" i="2" s="1"/>
  <c r="AE15" i="1"/>
  <c r="B86" i="2" s="1"/>
  <c r="J25" i="1"/>
  <c r="B94" i="2" s="1"/>
  <c r="M23" i="1"/>
  <c r="B102" i="2" s="1"/>
  <c r="P22" i="1"/>
  <c r="P25" i="1"/>
  <c r="S19" i="1"/>
  <c r="S22" i="1"/>
  <c r="S27" i="1"/>
  <c r="V20" i="1"/>
  <c r="V24" i="1"/>
  <c r="Y18" i="1"/>
  <c r="Y22" i="1"/>
  <c r="AB18" i="1"/>
  <c r="AL26" i="1" s="1"/>
  <c r="M13" i="1" s="1"/>
  <c r="B24" i="2" s="1"/>
  <c r="AB21" i="1"/>
  <c r="AL29" i="1" s="1"/>
  <c r="AB23" i="1"/>
  <c r="AL31" i="1" s="1"/>
  <c r="AB26" i="1"/>
  <c r="AL34" i="1" s="1"/>
  <c r="P11" i="1" s="1"/>
  <c r="B32" i="2" s="1"/>
  <c r="AE22" i="1"/>
  <c r="AE26" i="1"/>
  <c r="J32" i="1"/>
  <c r="J37" i="1"/>
  <c r="M31" i="1"/>
  <c r="M34" i="1"/>
  <c r="M37" i="1"/>
  <c r="P34" i="1"/>
  <c r="P37" i="1"/>
  <c r="S31" i="1"/>
  <c r="S35" i="1"/>
  <c r="S38" i="1"/>
  <c r="P23" i="1"/>
  <c r="P27" i="1"/>
  <c r="S20" i="1"/>
  <c r="S24" i="1"/>
  <c r="V19" i="1"/>
  <c r="V23" i="1"/>
  <c r="V25" i="1"/>
  <c r="Y21" i="1"/>
  <c r="Y25" i="1"/>
  <c r="Y26" i="1"/>
  <c r="AB24" i="1"/>
  <c r="AL32" i="1" s="1"/>
  <c r="P9" i="1" s="1"/>
  <c r="B30" i="2" s="1"/>
  <c r="AB27" i="1"/>
  <c r="AL35" i="1" s="1"/>
  <c r="P12" i="1" s="1"/>
  <c r="B33" i="2" s="1"/>
  <c r="AE20" i="1"/>
  <c r="AE25" i="1"/>
  <c r="J33" i="1"/>
  <c r="J34" i="1"/>
  <c r="J39" i="1"/>
  <c r="M32" i="1"/>
  <c r="M38" i="1"/>
  <c r="P39" i="1"/>
  <c r="S37" i="1"/>
  <c r="Y11" i="1"/>
  <c r="B62" i="2" s="1"/>
  <c r="S9" i="1"/>
  <c r="B40" i="2" s="1"/>
  <c r="P15" i="1"/>
  <c r="B36" i="2" s="1"/>
  <c r="S6" i="1"/>
  <c r="B37" i="2" s="1"/>
  <c r="Y6" i="1"/>
  <c r="B57" i="2" s="1"/>
  <c r="P14" i="1"/>
  <c r="B35" i="2" s="1"/>
  <c r="M12" i="1"/>
  <c r="B23" i="2" s="1"/>
  <c r="S33" i="1"/>
  <c r="P36" i="1"/>
  <c r="P30" i="1"/>
  <c r="S39" i="1"/>
  <c r="P35" i="1"/>
  <c r="M30" i="1"/>
  <c r="J31" i="1"/>
  <c r="AE23" i="1"/>
  <c r="AB22" i="1"/>
  <c r="AL30" i="1" s="1"/>
  <c r="P7" i="1" s="1"/>
  <c r="B28" i="2" s="1"/>
  <c r="Y27" i="1"/>
  <c r="Y19" i="1"/>
  <c r="V22" i="1"/>
  <c r="S21" i="1"/>
  <c r="P24" i="1"/>
  <c r="S36" i="1"/>
  <c r="P38" i="1"/>
  <c r="P31" i="1"/>
  <c r="M35" i="1"/>
  <c r="J35" i="1"/>
  <c r="AE27" i="1"/>
  <c r="AE18" i="1"/>
  <c r="AB20" i="1"/>
  <c r="AL28" i="1" s="1"/>
  <c r="M15" i="1" s="1"/>
  <c r="B26" i="2" s="1"/>
  <c r="Y23" i="1"/>
  <c r="V21" i="1"/>
  <c r="S25" i="1"/>
  <c r="P26" i="1"/>
  <c r="P19" i="1"/>
  <c r="J21" i="1"/>
  <c r="B90" i="2" s="1"/>
  <c r="AB13" i="1"/>
  <c r="V13" i="1"/>
  <c r="B54" i="2" s="1"/>
  <c r="M26" i="1"/>
  <c r="B105" i="2" s="1"/>
  <c r="J20" i="1"/>
  <c r="B89" i="2" s="1"/>
  <c r="AB12" i="1"/>
  <c r="V12" i="1"/>
  <c r="B53" i="2" s="1"/>
  <c r="M21" i="1"/>
  <c r="B100" i="2" s="1"/>
  <c r="AE13" i="1"/>
  <c r="B84" i="2" s="1"/>
  <c r="AB7" i="1"/>
  <c r="Y10" i="1"/>
  <c r="B61" i="2" s="1"/>
  <c r="M20" i="1"/>
  <c r="B99" i="2" s="1"/>
  <c r="AE12" i="1"/>
  <c r="B83" i="2" s="1"/>
  <c r="AB6" i="1"/>
  <c r="V6" i="1"/>
  <c r="B47" i="2" s="1"/>
  <c r="J8" i="1"/>
  <c r="B9" i="2" s="1"/>
  <c r="J7" i="1"/>
  <c r="B8" i="2" s="1"/>
  <c r="M9" i="1" l="1"/>
  <c r="B20" i="2" s="1"/>
  <c r="AL17" i="1"/>
  <c r="B70" i="2"/>
  <c r="AL16" i="1"/>
  <c r="B69" i="2"/>
  <c r="AL23" i="1"/>
  <c r="M10" i="1" s="1"/>
  <c r="B21" i="2" s="1"/>
  <c r="B76" i="2"/>
  <c r="AL15" i="1"/>
  <c r="J9" i="1" s="1"/>
  <c r="B10" i="2" s="1"/>
  <c r="B68" i="2"/>
  <c r="AL20" i="1"/>
  <c r="M7" i="1" s="1"/>
  <c r="B18" i="2" s="1"/>
  <c r="B73" i="2"/>
  <c r="AL21" i="1"/>
  <c r="B74" i="2"/>
  <c r="AL19" i="1"/>
  <c r="B72" i="2"/>
  <c r="AL18" i="1"/>
  <c r="J15" i="1" s="1"/>
  <c r="B16" i="2" s="1"/>
  <c r="B71" i="2"/>
  <c r="AL14" i="1"/>
  <c r="B67" i="2"/>
  <c r="P8" i="1"/>
  <c r="B29" i="2" s="1"/>
  <c r="P6" i="1"/>
  <c r="B27" i="2" s="1"/>
  <c r="P10" i="1"/>
  <c r="B31" i="2" s="1"/>
  <c r="J12" i="1" l="1"/>
  <c r="B13" i="2" s="1"/>
  <c r="J11" i="1"/>
  <c r="B12" i="2" s="1"/>
  <c r="M8" i="1"/>
  <c r="B19" i="2" s="1"/>
  <c r="J10" i="1"/>
  <c r="B11" i="2" s="1"/>
  <c r="J14" i="1"/>
  <c r="B15" i="2" s="1"/>
  <c r="M6" i="1"/>
  <c r="B17" i="2" s="1"/>
  <c r="J13" i="1"/>
  <c r="B14" i="2" s="1"/>
</calcChain>
</file>

<file path=xl/sharedStrings.xml><?xml version="1.0" encoding="utf-8"?>
<sst xmlns="http://schemas.openxmlformats.org/spreadsheetml/2006/main" count="116" uniqueCount="76">
  <si>
    <t>PJE</t>
  </si>
  <si>
    <t>PJE INSTRUMENTO</t>
  </si>
  <si>
    <t>Ax</t>
  </si>
  <si>
    <t>Ax pje</t>
  </si>
  <si>
    <t>PJE FILTRADO</t>
  </si>
  <si>
    <t>ax pje total</t>
  </si>
  <si>
    <t>ax pje alum</t>
  </si>
  <si>
    <t>pje total</t>
  </si>
  <si>
    <t>pje alum</t>
  </si>
  <si>
    <t>formula para notas en caso de puntaje superior a 29 puntos</t>
  </si>
  <si>
    <t>Puntaje</t>
  </si>
  <si>
    <t>Nota</t>
  </si>
  <si>
    <t>Nota Mínima:</t>
  </si>
  <si>
    <t>Nota Máxima:</t>
  </si>
  <si>
    <t>Exigencia:</t>
  </si>
  <si>
    <t>Puntaje Máximo:</t>
  </si>
  <si>
    <t>TABLA NORMAL</t>
  </si>
  <si>
    <t>TIPIFICACION</t>
  </si>
  <si>
    <t>NOTA FINAL POR LA NORMAL</t>
  </si>
  <si>
    <t>NOTAS = RECTA SIN QUIEBRE O PROPORCION CONSTANTE</t>
  </si>
  <si>
    <t>RECTA QUEBRADA</t>
  </si>
  <si>
    <t>RECTA</t>
  </si>
  <si>
    <t>MODELO</t>
  </si>
  <si>
    <t>CAMPANA DE GAUSS</t>
  </si>
  <si>
    <t>FINAL</t>
  </si>
  <si>
    <t>DECIMAL</t>
  </si>
  <si>
    <t>UNIDAD</t>
  </si>
  <si>
    <t>0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</si>
  <si>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</si>
  <si>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</si>
  <si>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</si>
  <si>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</si>
  <si>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</si>
  <si>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</si>
  <si>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</si>
  <si>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</si>
  <si>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</si>
  <si>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</si>
  <si>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</si>
  <si>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</si>
  <si>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</si>
  <si>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</si>
  <si>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</si>
  <si>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</si>
  <si>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</si>
  <si>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</si>
  <si>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</si>
  <si>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</si>
  <si>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</si>
  <si>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</si>
  <si>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</si>
  <si>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</si>
  <si>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</si>
  <si>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</si>
  <si>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</si>
  <si>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</si>
  <si>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</si>
  <si>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</si>
  <si>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</si>
  <si>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</si>
  <si>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</si>
  <si>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</si>
  <si>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</si>
  <si>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</si>
  <si>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</si>
  <si>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</si>
  <si>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</si>
  <si>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</si>
  <si>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</si>
  <si>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</si>
  <si>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</si>
  <si>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</si>
  <si>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</si>
  <si>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</si>
  <si>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TABLA CONVERSION PUNTAJE A NOTA (50 PUNTOS)</t>
  </si>
  <si>
    <t>© AsesoriasExcel 2025.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</si>
</sst>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632423"/>
      <name val="Arial Narrow"/>
      <family val="2"/>
    </font>
    <font>
      <sz val="10"/>
      <color rgb="FF632423"/>
      <name val="Arial Narrow"/>
      <family val="2"/>
    </font>
    <font>
      <sz val="12"/>
      <color theme="1"/>
      <name val="Times New Roman"/>
      <family val="1"/>
    </font>
    <font>
      <sz val="11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8979C"/>
      <name val="Calibri"/>
      <family val="2"/>
      <scheme val="minor"/>
    </font>
    <font>
      <b/>
      <sz val="11"/>
      <color rgb="FF08979C"/>
      <name val="Calibri"/>
      <family val="2"/>
      <scheme val="minor"/>
    </font>
    <font>
      <b/>
      <sz val="11"/>
      <color rgb="FFA5ACB3"/>
      <name val="Calibri"/>
      <family val="2"/>
      <scheme val="minor"/>
    </font>
    <font>
      <sz val="11"/>
      <color rgb="FF5D666F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theme="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6FFFB"/>
        <bgColor indexed="64"/>
      </patternFill>
    </fill>
    <fill>
      <patternFill patternType="solid">
        <fgColor rgb="FF00152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34454"/>
        <bgColor indexed="64"/>
      </patternFill>
    </fill>
    <fill>
      <patternFill patternType="solid">
        <fgColor rgb="FF02172C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rgb="FF08979C"/>
      </left>
      <right style="thin">
        <color rgb="FF08979C"/>
      </right>
      <top style="thin">
        <color rgb="FF08979C"/>
      </top>
      <bottom style="thin">
        <color rgb="FF08979C"/>
      </bottom>
      <diagonal/>
    </border>
    <border>
      <left/>
      <right style="thin">
        <color rgb="FFA5ACB3"/>
      </right>
      <top/>
      <bottom/>
      <diagonal/>
    </border>
    <border>
      <left/>
      <right style="thin">
        <color rgb="FFA5ACB3"/>
      </right>
      <top/>
      <bottom style="thin">
        <color rgb="FFA5ACB3"/>
      </bottom>
      <diagonal/>
    </border>
    <border>
      <left/>
      <right/>
      <top/>
      <bottom style="thin">
        <color rgb="FFA5ACB3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3" borderId="0" xfId="0" applyFill="1"/>
    <xf numFmtId="0" fontId="2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8" fillId="3" borderId="0" xfId="0" applyFont="1" applyFill="1"/>
    <xf numFmtId="164" fontId="7" fillId="3" borderId="0" xfId="0" applyNumberFormat="1" applyFont="1" applyFill="1"/>
    <xf numFmtId="164" fontId="8" fillId="3" borderId="0" xfId="0" applyNumberFormat="1" applyFont="1" applyFill="1"/>
    <xf numFmtId="0" fontId="6" fillId="4" borderId="0" xfId="0" applyFont="1" applyFill="1" applyAlignment="1">
      <alignment horizontal="center"/>
    </xf>
    <xf numFmtId="164" fontId="6" fillId="4" borderId="0" xfId="0" applyNumberFormat="1" applyFont="1" applyFill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6" fillId="3" borderId="0" xfId="0" applyFont="1" applyFill="1" applyProtection="1">
      <protection locked="0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164" fontId="6" fillId="3" borderId="0" xfId="0" applyNumberFormat="1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0" fontId="13" fillId="6" borderId="0" xfId="0" applyFont="1" applyFill="1" applyAlignment="1">
      <alignment horizontal="right"/>
    </xf>
    <xf numFmtId="0" fontId="13" fillId="6" borderId="0" xfId="0" applyFont="1" applyFill="1" applyAlignment="1">
      <alignment horizontal="left"/>
    </xf>
    <xf numFmtId="0" fontId="0" fillId="7" borderId="0" xfId="0" applyFill="1"/>
    <xf numFmtId="0" fontId="7" fillId="7" borderId="0" xfId="0" applyFont="1" applyFill="1"/>
    <xf numFmtId="0" fontId="2" fillId="7" borderId="0" xfId="0" applyFont="1" applyFill="1"/>
    <xf numFmtId="164" fontId="0" fillId="7" borderId="0" xfId="0" applyNumberFormat="1" applyFill="1"/>
    <xf numFmtId="0" fontId="3" fillId="7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10" fillId="8" borderId="0" xfId="0" applyFont="1" applyFill="1" applyAlignment="1" applyProtection="1">
      <alignment horizontal="right"/>
      <protection locked="0"/>
    </xf>
    <xf numFmtId="0" fontId="0" fillId="6" borderId="11" xfId="0" applyFill="1" applyBorder="1"/>
    <xf numFmtId="0" fontId="11" fillId="6" borderId="11" xfId="0" applyFont="1" applyFill="1" applyBorder="1"/>
    <xf numFmtId="0" fontId="0" fillId="6" borderId="11" xfId="0" applyFill="1" applyBorder="1" applyAlignment="1">
      <alignment horizontal="right"/>
    </xf>
    <xf numFmtId="0" fontId="0" fillId="6" borderId="0" xfId="0" applyFill="1"/>
    <xf numFmtId="0" fontId="0" fillId="6" borderId="13" xfId="0" applyFill="1" applyBorder="1"/>
    <xf numFmtId="0" fontId="11" fillId="6" borderId="13" xfId="0" applyFont="1" applyFill="1" applyBorder="1"/>
    <xf numFmtId="0" fontId="11" fillId="6" borderId="12" xfId="0" applyFont="1" applyFill="1" applyBorder="1"/>
    <xf numFmtId="0" fontId="6" fillId="6" borderId="0" xfId="0" applyFont="1" applyFill="1"/>
    <xf numFmtId="0" fontId="0" fillId="9" borderId="0" xfId="0" applyFill="1"/>
    <xf numFmtId="0" fontId="0" fillId="9" borderId="11" xfId="0" applyFill="1" applyBorder="1"/>
    <xf numFmtId="0" fontId="3" fillId="9" borderId="0" xfId="0" applyFont="1" applyFill="1" applyAlignment="1">
      <alignment vertical="center"/>
    </xf>
    <xf numFmtId="0" fontId="3" fillId="9" borderId="11" xfId="0" applyFont="1" applyFill="1" applyBorder="1" applyAlignment="1">
      <alignment vertical="center"/>
    </xf>
    <xf numFmtId="0" fontId="4" fillId="9" borderId="0" xfId="0" applyFont="1" applyFill="1" applyAlignment="1">
      <alignment vertical="center"/>
    </xf>
    <xf numFmtId="0" fontId="4" fillId="9" borderId="11" xfId="0" applyFont="1" applyFill="1" applyBorder="1" applyAlignment="1">
      <alignment vertical="center"/>
    </xf>
    <xf numFmtId="0" fontId="5" fillId="9" borderId="0" xfId="0" applyFont="1" applyFill="1" applyAlignment="1">
      <alignment horizontal="center" vertical="center"/>
    </xf>
    <xf numFmtId="0" fontId="0" fillId="9" borderId="13" xfId="0" applyFill="1" applyBorder="1"/>
    <xf numFmtId="0" fontId="0" fillId="9" borderId="12" xfId="0" applyFill="1" applyBorder="1"/>
    <xf numFmtId="0" fontId="0" fillId="2" borderId="0" xfId="0" applyFill="1" applyProtection="1">
      <protection hidden="1"/>
    </xf>
    <xf numFmtId="0" fontId="2" fillId="2" borderId="0" xfId="0" applyFont="1" applyFill="1" applyProtection="1">
      <protection hidden="1"/>
    </xf>
    <xf numFmtId="0" fontId="12" fillId="5" borderId="10" xfId="0" applyFont="1" applyFill="1" applyBorder="1" applyAlignment="1" applyProtection="1">
      <alignment horizontal="center"/>
      <protection hidden="1"/>
    </xf>
    <xf numFmtId="0" fontId="11" fillId="2" borderId="10" xfId="0" applyFont="1" applyFill="1" applyBorder="1" applyAlignment="1" applyProtection="1">
      <alignment horizontal="center"/>
      <protection hidden="1"/>
    </xf>
    <xf numFmtId="164" fontId="11" fillId="2" borderId="10" xfId="0" applyNumberFormat="1" applyFont="1" applyFill="1" applyBorder="1" applyAlignment="1" applyProtection="1">
      <alignment horizontal="center"/>
      <protection hidden="1"/>
    </xf>
    <xf numFmtId="0" fontId="6" fillId="2" borderId="0" xfId="0" applyFont="1" applyFill="1" applyProtection="1">
      <protection hidden="1"/>
    </xf>
    <xf numFmtId="164" fontId="6" fillId="8" borderId="0" xfId="0" applyNumberFormat="1" applyFont="1" applyFill="1" applyAlignment="1" applyProtection="1">
      <alignment horizontal="right"/>
      <protection locked="0"/>
    </xf>
    <xf numFmtId="9" fontId="6" fillId="8" borderId="0" xfId="1" applyFont="1" applyFill="1" applyBorder="1" applyAlignment="1" applyProtection="1">
      <alignment horizontal="right"/>
      <protection locked="0"/>
    </xf>
    <xf numFmtId="1" fontId="6" fillId="8" borderId="0" xfId="0" applyNumberFormat="1" applyFont="1" applyFill="1" applyAlignment="1" applyProtection="1">
      <alignment horizontal="left"/>
      <protection locked="0"/>
    </xf>
    <xf numFmtId="0" fontId="14" fillId="6" borderId="0" xfId="0" applyFont="1" applyFill="1" applyAlignment="1">
      <alignment horizontal="right"/>
    </xf>
    <xf numFmtId="0" fontId="15" fillId="9" borderId="0" xfId="0" applyFont="1" applyFill="1" applyAlignment="1">
      <alignment horizontal="left"/>
    </xf>
    <xf numFmtId="0" fontId="16" fillId="9" borderId="0" xfId="0" applyFont="1" applyFill="1" applyAlignment="1">
      <alignment horizontal="left" vertical="top"/>
    </xf>
    <xf numFmtId="0" fontId="6" fillId="3" borderId="0" xfId="0" applyFont="1" applyFill="1" applyAlignment="1">
      <alignment horizontal="center"/>
    </xf>
    <xf numFmtId="0" fontId="13" fillId="6" borderId="0" xfId="0" applyFont="1" applyFill="1" applyAlignment="1">
      <alignment horizontal="right"/>
    </xf>
    <xf numFmtId="0" fontId="9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56"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color rgb="FF08979C"/>
      </font>
      <fill>
        <patternFill>
          <bgColor rgb="FFE6FFFB"/>
        </patternFill>
      </fill>
    </dxf>
    <dxf>
      <font>
        <b val="0"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02172C"/>
      <color rgb="FF5D666F"/>
      <color rgb="FF1A222C"/>
      <color rgb="FFA5ACB3"/>
      <color rgb="FF001529"/>
      <color rgb="FF334454"/>
      <color rgb="FFF5F5F5"/>
      <color rgb="FF08979C"/>
      <color rgb="FFE6FFFB"/>
      <color rgb="FFB5F5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AN$7" noThreeD="1"/>
</file>

<file path=xl/ctrlProps/ctrlProp2.xml><?xml version="1.0" encoding="utf-8"?>
<formControlPr xmlns="http://schemas.microsoft.com/office/spreadsheetml/2009/9/main" objectType="Radio" checked="Checked" noThreeD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18</xdr:row>
          <xdr:rowOff>180975</xdr:rowOff>
        </xdr:from>
        <xdr:to>
          <xdr:col>4</xdr:col>
          <xdr:colOff>285750</xdr:colOff>
          <xdr:row>20</xdr:row>
          <xdr:rowOff>9525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18</xdr:row>
          <xdr:rowOff>19050</xdr:rowOff>
        </xdr:from>
        <xdr:to>
          <xdr:col>4</xdr:col>
          <xdr:colOff>247650</xdr:colOff>
          <xdr:row>19</xdr:row>
          <xdr:rowOff>9525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404447</xdr:colOff>
      <xdr:row>1</xdr:row>
      <xdr:rowOff>29308</xdr:rowOff>
    </xdr:from>
    <xdr:to>
      <xdr:col>3</xdr:col>
      <xdr:colOff>1053612</xdr:colOff>
      <xdr:row>6</xdr:row>
      <xdr:rowOff>7183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4AF0D3E-0D72-870A-A872-33A5905E7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2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097" y="219808"/>
          <a:ext cx="2249365" cy="9684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E7:AY58" totalsRowShown="0" headerRowDxfId="51" dataDxfId="49" headerRowBorderDxfId="50" tableBorderDxfId="48" totalsRowBorderDxfId="47">
  <tableColumns count="47">
    <tableColumn id="1" xr3:uid="{00000000-0010-0000-0000-000001000000}" name="0" dataDxfId="46"/>
    <tableColumn id="2" xr3:uid="{00000000-0010-0000-0000-000002000000}" name="5" dataDxfId="45"/>
    <tableColumn id="3" xr3:uid="{00000000-0010-0000-0000-000003000000}" name="6" dataDxfId="44"/>
    <tableColumn id="4" xr3:uid="{00000000-0010-0000-0000-000004000000}" name="7" dataDxfId="43"/>
    <tableColumn id="5" xr3:uid="{00000000-0010-0000-0000-000005000000}" name="8" dataDxfId="42"/>
    <tableColumn id="6" xr3:uid="{00000000-0010-0000-0000-000006000000}" name="9" dataDxfId="41"/>
    <tableColumn id="7" xr3:uid="{00000000-0010-0000-0000-000007000000}" name="10" dataDxfId="40"/>
    <tableColumn id="8" xr3:uid="{00000000-0010-0000-0000-000008000000}" name="11" dataDxfId="39"/>
    <tableColumn id="9" xr3:uid="{00000000-0010-0000-0000-000009000000}" name="12" dataDxfId="38"/>
    <tableColumn id="10" xr3:uid="{00000000-0010-0000-0000-00000A000000}" name="13" dataDxfId="37"/>
    <tableColumn id="11" xr3:uid="{00000000-0010-0000-0000-00000B000000}" name="14" dataDxfId="36"/>
    <tableColumn id="12" xr3:uid="{00000000-0010-0000-0000-00000C000000}" name="15" dataDxfId="35"/>
    <tableColumn id="13" xr3:uid="{00000000-0010-0000-0000-00000D000000}" name="16" dataDxfId="34"/>
    <tableColumn id="14" xr3:uid="{00000000-0010-0000-0000-00000E000000}" name="17" dataDxfId="33"/>
    <tableColumn id="15" xr3:uid="{00000000-0010-0000-0000-00000F000000}" name="18" dataDxfId="32"/>
    <tableColumn id="16" xr3:uid="{00000000-0010-0000-0000-000010000000}" name="19" dataDxfId="31"/>
    <tableColumn id="17" xr3:uid="{00000000-0010-0000-0000-000011000000}" name="20" dataDxfId="30"/>
    <tableColumn id="18" xr3:uid="{00000000-0010-0000-0000-000012000000}" name="21" dataDxfId="29"/>
    <tableColumn id="19" xr3:uid="{00000000-0010-0000-0000-000013000000}" name="22" dataDxfId="28"/>
    <tableColumn id="20" xr3:uid="{00000000-0010-0000-0000-000014000000}" name="23" dataDxfId="27"/>
    <tableColumn id="21" xr3:uid="{00000000-0010-0000-0000-000015000000}" name="24" dataDxfId="26"/>
    <tableColumn id="22" xr3:uid="{00000000-0010-0000-0000-000016000000}" name="25" dataDxfId="25"/>
    <tableColumn id="23" xr3:uid="{00000000-0010-0000-0000-000017000000}" name="26" dataDxfId="24"/>
    <tableColumn id="24" xr3:uid="{00000000-0010-0000-0000-000018000000}" name="27" dataDxfId="23"/>
    <tableColumn id="25" xr3:uid="{00000000-0010-0000-0000-000019000000}" name="28" dataDxfId="22"/>
    <tableColumn id="26" xr3:uid="{00000000-0010-0000-0000-00001A000000}" name="29" dataDxfId="21"/>
    <tableColumn id="27" xr3:uid="{00000000-0010-0000-0000-00001B000000}" name="30" dataDxfId="20"/>
    <tableColumn id="28" xr3:uid="{00000000-0010-0000-0000-00001C000000}" name="31" dataDxfId="19"/>
    <tableColumn id="29" xr3:uid="{00000000-0010-0000-0000-00001D000000}" name="32" dataDxfId="18"/>
    <tableColumn id="30" xr3:uid="{00000000-0010-0000-0000-00001E000000}" name="33" dataDxfId="17"/>
    <tableColumn id="31" xr3:uid="{00000000-0010-0000-0000-00001F000000}" name="34" dataDxfId="16"/>
    <tableColumn id="32" xr3:uid="{00000000-0010-0000-0000-000020000000}" name="35" dataDxfId="15"/>
    <tableColumn id="33" xr3:uid="{00000000-0010-0000-0000-000021000000}" name="36" dataDxfId="14"/>
    <tableColumn id="34" xr3:uid="{00000000-0010-0000-0000-000022000000}" name="37" dataDxfId="13"/>
    <tableColumn id="35" xr3:uid="{00000000-0010-0000-0000-000023000000}" name="38" dataDxfId="12"/>
    <tableColumn id="36" xr3:uid="{00000000-0010-0000-0000-000024000000}" name="39" dataDxfId="11"/>
    <tableColumn id="37" xr3:uid="{00000000-0010-0000-0000-000025000000}" name="40" dataDxfId="10"/>
    <tableColumn id="38" xr3:uid="{00000000-0010-0000-0000-000026000000}" name="41" dataDxfId="9"/>
    <tableColumn id="39" xr3:uid="{00000000-0010-0000-0000-000027000000}" name="42" dataDxfId="8"/>
    <tableColumn id="40" xr3:uid="{00000000-0010-0000-0000-000028000000}" name="43" dataDxfId="7"/>
    <tableColumn id="41" xr3:uid="{00000000-0010-0000-0000-000029000000}" name="44" dataDxfId="6"/>
    <tableColumn id="42" xr3:uid="{00000000-0010-0000-0000-00002A000000}" name="45" dataDxfId="5"/>
    <tableColumn id="43" xr3:uid="{00000000-0010-0000-0000-00002B000000}" name="46" dataDxfId="4"/>
    <tableColumn id="44" xr3:uid="{00000000-0010-0000-0000-00002C000000}" name="47" dataDxfId="3"/>
    <tableColumn id="45" xr3:uid="{00000000-0010-0000-0000-00002D000000}" name="48" dataDxfId="2"/>
    <tableColumn id="46" xr3:uid="{00000000-0010-0000-0000-00002E000000}" name="49" dataDxfId="1"/>
    <tableColumn id="47" xr3:uid="{00000000-0010-0000-0000-00002F000000}" name="50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CY409"/>
  <sheetViews>
    <sheetView tabSelected="1" zoomScale="62" zoomScaleNormal="101" zoomScaleSheetLayoutView="55" workbookViewId="0"/>
  </sheetViews>
  <sheetFormatPr baseColWidth="10" defaultColWidth="0" defaultRowHeight="15" zeroHeight="1" x14ac:dyDescent="0.25"/>
  <cols>
    <col min="1" max="1" width="3.7109375" style="1" customWidth="1"/>
    <col min="2" max="3" width="11.85546875" style="1" customWidth="1"/>
    <col min="4" max="4" width="17.28515625" style="1" customWidth="1"/>
    <col min="5" max="5" width="5.85546875" style="1" customWidth="1"/>
    <col min="6" max="6" width="2.85546875" style="1" customWidth="1"/>
    <col min="7" max="7" width="9" style="1" customWidth="1"/>
    <col min="8" max="8" width="3.42578125" style="1" customWidth="1"/>
    <col min="9" max="10" width="9.28515625" style="1" customWidth="1"/>
    <col min="11" max="11" width="1.42578125" style="1" customWidth="1"/>
    <col min="12" max="13" width="9.28515625" style="1" customWidth="1"/>
    <col min="14" max="14" width="1.42578125" style="1" customWidth="1"/>
    <col min="15" max="16" width="9.28515625" style="1" customWidth="1"/>
    <col min="17" max="17" width="1.42578125" style="1" customWidth="1"/>
    <col min="18" max="19" width="9.28515625" style="1" customWidth="1"/>
    <col min="20" max="20" width="1.42578125" style="1" customWidth="1"/>
    <col min="21" max="22" width="9.28515625" style="1" customWidth="1"/>
    <col min="23" max="23" width="1.42578125" style="1" customWidth="1"/>
    <col min="24" max="25" width="9.28515625" style="1" customWidth="1"/>
    <col min="26" max="26" width="1.42578125" style="1" customWidth="1"/>
    <col min="27" max="28" width="9.28515625" style="1" customWidth="1"/>
    <col min="29" max="29" width="1.42578125" style="1" customWidth="1"/>
    <col min="30" max="31" width="9.28515625" style="1" customWidth="1"/>
    <col min="32" max="32" width="3.28515625" style="1" customWidth="1"/>
    <col min="33" max="33" width="3.42578125" style="4" customWidth="1"/>
    <col min="34" max="39" width="9.140625" style="3" hidden="1" customWidth="1"/>
    <col min="40" max="40" width="18" style="3" hidden="1" customWidth="1"/>
    <col min="41" max="41" width="33.5703125" style="3" hidden="1" customWidth="1"/>
    <col min="42" max="42" width="9.85546875" style="3" hidden="1" customWidth="1"/>
    <col min="43" max="43" width="9.140625" style="3" hidden="1" customWidth="1"/>
    <col min="44" max="44" width="9.85546875" style="3" hidden="1" customWidth="1"/>
    <col min="45" max="45" width="9.28515625" style="3" hidden="1" customWidth="1"/>
    <col min="46" max="46" width="9.140625" style="3" hidden="1" customWidth="1"/>
    <col min="47" max="47" width="9.85546875" style="3" hidden="1" customWidth="1"/>
    <col min="48" max="53" width="9.140625" style="3" hidden="1" customWidth="1"/>
    <col min="54" max="103" width="9.140625" style="4" hidden="1" customWidth="1"/>
    <col min="104" max="16384" width="9.140625" style="1" hidden="1"/>
  </cols>
  <sheetData>
    <row r="1" spans="1:101" x14ac:dyDescent="0.25">
      <c r="A1" s="46"/>
      <c r="B1" s="46"/>
      <c r="C1" s="46"/>
      <c r="D1" s="46"/>
      <c r="E1" s="46"/>
      <c r="F1" s="47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2"/>
      <c r="AN1" s="3">
        <f ca="1">YEAR(TODAY())-1</f>
        <v>2024</v>
      </c>
      <c r="BS1" s="4" t="s">
        <v>1</v>
      </c>
      <c r="BT1" s="4" t="s">
        <v>2</v>
      </c>
      <c r="BU1" s="4" t="s">
        <v>3</v>
      </c>
      <c r="BV1" s="4" t="s">
        <v>4</v>
      </c>
      <c r="BW1" s="4" t="s">
        <v>0</v>
      </c>
      <c r="BX1" s="4">
        <v>29</v>
      </c>
      <c r="BY1" s="4">
        <v>28</v>
      </c>
      <c r="BZ1" s="4">
        <v>27</v>
      </c>
      <c r="CA1" s="4">
        <v>26</v>
      </c>
      <c r="CB1" s="4">
        <v>25</v>
      </c>
      <c r="CC1" s="4">
        <v>24</v>
      </c>
      <c r="CD1" s="4">
        <v>23</v>
      </c>
      <c r="CE1" s="4">
        <v>22</v>
      </c>
      <c r="CF1" s="4">
        <v>21</v>
      </c>
      <c r="CG1" s="4">
        <v>20</v>
      </c>
      <c r="CH1" s="4">
        <v>19</v>
      </c>
      <c r="CI1" s="5">
        <v>18</v>
      </c>
      <c r="CJ1" s="4">
        <v>17</v>
      </c>
      <c r="CK1" s="4">
        <v>16</v>
      </c>
      <c r="CL1" s="4">
        <v>15</v>
      </c>
      <c r="CM1" s="4">
        <v>14</v>
      </c>
      <c r="CN1" s="4">
        <v>13</v>
      </c>
      <c r="CO1" s="4">
        <v>12</v>
      </c>
      <c r="CP1" s="4">
        <v>11</v>
      </c>
      <c r="CQ1" s="4">
        <v>10</v>
      </c>
      <c r="CR1" s="4">
        <v>9</v>
      </c>
      <c r="CS1" s="4">
        <v>8</v>
      </c>
      <c r="CT1" s="4">
        <v>7</v>
      </c>
      <c r="CU1" s="4">
        <v>6</v>
      </c>
      <c r="CV1" s="4">
        <v>5</v>
      </c>
    </row>
    <row r="2" spans="1:101" ht="16.5" x14ac:dyDescent="0.25">
      <c r="A2" s="46"/>
      <c r="B2" s="65"/>
      <c r="C2" s="65"/>
      <c r="D2" s="65"/>
      <c r="E2" s="48"/>
      <c r="F2" s="49"/>
      <c r="G2" s="35"/>
      <c r="H2" s="31"/>
      <c r="I2" s="31"/>
      <c r="J2" s="31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1"/>
      <c r="W2" s="31"/>
      <c r="X2" s="31"/>
      <c r="Y2" s="31"/>
      <c r="Z2" s="34"/>
      <c r="AA2" s="34"/>
      <c r="AB2" s="34"/>
      <c r="AC2" s="34"/>
      <c r="AD2" s="31"/>
      <c r="AE2" s="31"/>
      <c r="AF2" s="31"/>
      <c r="AG2" s="32"/>
      <c r="BS2" s="4">
        <v>45</v>
      </c>
      <c r="BT2" s="4">
        <v>2</v>
      </c>
      <c r="BU2" s="4">
        <v>0</v>
      </c>
      <c r="BV2" s="4">
        <f>IFERROR(IF(AND($BS$2&gt;=5,$BS$2&lt;=29),HLOOKUP($BS$2,$BX$1:$CV$60,$BT2,FALSE),IF(BU2&gt;=0.6*$BS$2*2,ROUND(((7-4)/($BS$2*2-0.6*$BS$2*2))*(BU2-0.6*$BS$2*2)+4,1),ROUND(((4-1)/(0.6*$BS$2*2))*BU2+1,1))),"")</f>
        <v>1</v>
      </c>
      <c r="BW2" s="4">
        <v>0</v>
      </c>
      <c r="BX2" s="4">
        <v>1</v>
      </c>
      <c r="BY2" s="6">
        <v>1</v>
      </c>
      <c r="BZ2" s="6">
        <v>1</v>
      </c>
      <c r="CA2" s="6">
        <v>1</v>
      </c>
      <c r="CB2" s="6">
        <v>1</v>
      </c>
      <c r="CC2" s="6">
        <v>1</v>
      </c>
      <c r="CD2" s="6">
        <v>1</v>
      </c>
      <c r="CE2" s="6">
        <v>1</v>
      </c>
      <c r="CF2" s="6">
        <v>1</v>
      </c>
      <c r="CG2" s="6">
        <v>1</v>
      </c>
      <c r="CH2" s="6">
        <v>1</v>
      </c>
      <c r="CI2" s="7">
        <v>1</v>
      </c>
      <c r="CJ2" s="6">
        <v>1</v>
      </c>
      <c r="CK2" s="6">
        <v>1</v>
      </c>
      <c r="CL2" s="6">
        <v>1</v>
      </c>
      <c r="CM2" s="6">
        <v>1</v>
      </c>
      <c r="CN2" s="6">
        <v>1</v>
      </c>
      <c r="CO2" s="6">
        <v>1</v>
      </c>
      <c r="CP2" s="6">
        <v>1</v>
      </c>
      <c r="CQ2" s="6">
        <v>1</v>
      </c>
      <c r="CR2" s="6">
        <v>1</v>
      </c>
      <c r="CS2" s="6">
        <v>1</v>
      </c>
      <c r="CT2" s="6">
        <v>1</v>
      </c>
      <c r="CU2" s="6">
        <v>1</v>
      </c>
      <c r="CV2" s="6">
        <v>1</v>
      </c>
      <c r="CW2" s="6"/>
    </row>
    <row r="3" spans="1:101" x14ac:dyDescent="0.25">
      <c r="A3" s="46"/>
      <c r="B3" s="65"/>
      <c r="C3" s="65"/>
      <c r="D3" s="65"/>
      <c r="E3" s="46"/>
      <c r="F3" s="47"/>
      <c r="G3" s="31"/>
      <c r="H3" s="31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2"/>
      <c r="AR3" s="3">
        <f ca="1">STDEV($AO$9:$AO$209)</f>
        <v>1.7452722207088793</v>
      </c>
      <c r="BR3" s="4" t="s">
        <v>5</v>
      </c>
      <c r="BS3" s="4">
        <v>70</v>
      </c>
      <c r="BT3" s="4">
        <v>3</v>
      </c>
      <c r="BU3" s="4">
        <v>0.5</v>
      </c>
      <c r="BV3" s="4">
        <f t="shared" ref="BV3:BV66" si="0">IFERROR(IF(AND($BS$2&gt;=5,$BS$2&lt;=29),HLOOKUP($BS$2,$BX$1:$CV$60,$BT3,FALSE),IF(BU3&gt;=0.6*$BS$2*2,ROUND(((7-4)/($BS$2*2-0.6*$BS$2*2))*(BU3-0.6*$BS$2*2)+4,1),ROUND(((4-1)/(0.6*$BS$2*2))*BU3+1,1))),"")</f>
        <v>1</v>
      </c>
      <c r="BW3" s="4">
        <v>0.5</v>
      </c>
      <c r="BX3" s="4">
        <v>1.1000000000000001</v>
      </c>
      <c r="BY3" s="4">
        <v>1.1000000000000001</v>
      </c>
      <c r="BZ3" s="4">
        <v>1.1000000000000001</v>
      </c>
      <c r="CA3" s="4">
        <v>1.1000000000000001</v>
      </c>
      <c r="CB3" s="4">
        <v>1.1000000000000001</v>
      </c>
      <c r="CC3" s="4">
        <v>1.1000000000000001</v>
      </c>
      <c r="CD3" s="4">
        <v>1.1000000000000001</v>
      </c>
      <c r="CE3" s="4">
        <v>1.1000000000000001</v>
      </c>
      <c r="CF3" s="4">
        <v>1.1000000000000001</v>
      </c>
      <c r="CG3" s="4">
        <v>1.1000000000000001</v>
      </c>
      <c r="CH3" s="4">
        <v>1.1000000000000001</v>
      </c>
      <c r="CI3" s="5">
        <v>1.1000000000000001</v>
      </c>
      <c r="CJ3" s="4">
        <v>1.1000000000000001</v>
      </c>
      <c r="CK3" s="4">
        <v>1.2</v>
      </c>
      <c r="CL3" s="4">
        <v>1.2</v>
      </c>
      <c r="CM3" s="4">
        <v>1.2</v>
      </c>
      <c r="CN3" s="4">
        <v>1.2</v>
      </c>
      <c r="CO3" s="4">
        <v>1.2</v>
      </c>
      <c r="CP3" s="4">
        <v>1.2</v>
      </c>
      <c r="CQ3" s="4">
        <v>1.3</v>
      </c>
      <c r="CR3" s="4">
        <v>1.3</v>
      </c>
      <c r="CS3" s="4">
        <v>1.3</v>
      </c>
      <c r="CT3" s="4">
        <v>1.4</v>
      </c>
      <c r="CU3" s="4">
        <v>1.4</v>
      </c>
      <c r="CV3" s="4">
        <v>1.5</v>
      </c>
    </row>
    <row r="4" spans="1:101" x14ac:dyDescent="0.25">
      <c r="A4" s="46"/>
      <c r="B4" s="66"/>
      <c r="C4" s="66"/>
      <c r="D4" s="66"/>
      <c r="E4" s="50"/>
      <c r="F4" s="51"/>
      <c r="G4" s="36"/>
      <c r="H4" s="55"/>
      <c r="I4" s="55"/>
      <c r="J4" s="55"/>
      <c r="K4" s="56"/>
      <c r="L4" s="56"/>
      <c r="M4" s="56"/>
      <c r="N4" s="56"/>
      <c r="O4" s="56"/>
      <c r="P4" s="56"/>
      <c r="Q4" s="56"/>
      <c r="R4" s="56"/>
      <c r="S4" s="56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32"/>
      <c r="BR4" s="4" t="s">
        <v>6</v>
      </c>
      <c r="BS4" s="4">
        <v>22</v>
      </c>
      <c r="BT4" s="4">
        <v>4</v>
      </c>
      <c r="BU4" s="4">
        <v>1</v>
      </c>
      <c r="BV4" s="4">
        <f t="shared" si="0"/>
        <v>1.1000000000000001</v>
      </c>
      <c r="BW4" s="4">
        <v>1</v>
      </c>
      <c r="BX4" s="4">
        <v>1.2</v>
      </c>
      <c r="BY4" s="4">
        <v>1.2</v>
      </c>
      <c r="BZ4" s="4">
        <v>1.2</v>
      </c>
      <c r="CA4" s="4">
        <v>1.2</v>
      </c>
      <c r="CB4" s="4">
        <v>1.2</v>
      </c>
      <c r="CC4" s="4">
        <v>1.2</v>
      </c>
      <c r="CD4" s="4">
        <v>1.2</v>
      </c>
      <c r="CE4" s="4">
        <v>1.2</v>
      </c>
      <c r="CF4" s="4">
        <v>1.2</v>
      </c>
      <c r="CG4" s="4">
        <v>1.3</v>
      </c>
      <c r="CH4" s="4">
        <v>1.3</v>
      </c>
      <c r="CI4" s="5">
        <v>1.3</v>
      </c>
      <c r="CJ4" s="4">
        <v>1.3</v>
      </c>
      <c r="CK4" s="4">
        <v>1.3</v>
      </c>
      <c r="CL4" s="4">
        <v>1.3</v>
      </c>
      <c r="CM4" s="4">
        <v>1.4</v>
      </c>
      <c r="CN4" s="4">
        <v>1.4</v>
      </c>
      <c r="CO4" s="4">
        <v>1.4</v>
      </c>
      <c r="CP4" s="4">
        <v>1.5</v>
      </c>
      <c r="CQ4" s="4">
        <v>1.5</v>
      </c>
      <c r="CR4" s="4">
        <v>1.6</v>
      </c>
      <c r="CS4" s="4">
        <v>1.6</v>
      </c>
      <c r="CT4" s="4">
        <v>1.7</v>
      </c>
      <c r="CU4" s="4">
        <v>1.8</v>
      </c>
      <c r="CV4" s="4">
        <v>2</v>
      </c>
    </row>
    <row r="5" spans="1:101" x14ac:dyDescent="0.25">
      <c r="A5" s="46"/>
      <c r="B5" s="66"/>
      <c r="C5" s="66"/>
      <c r="D5" s="66"/>
      <c r="E5" s="46"/>
      <c r="F5" s="47"/>
      <c r="G5" s="31"/>
      <c r="H5" s="55"/>
      <c r="I5" s="57" t="s">
        <v>10</v>
      </c>
      <c r="J5" s="57" t="s">
        <v>11</v>
      </c>
      <c r="K5" s="56"/>
      <c r="L5" s="57" t="s">
        <v>10</v>
      </c>
      <c r="M5" s="57" t="s">
        <v>11</v>
      </c>
      <c r="N5" s="55"/>
      <c r="O5" s="57" t="s">
        <v>10</v>
      </c>
      <c r="P5" s="57" t="s">
        <v>11</v>
      </c>
      <c r="Q5" s="55"/>
      <c r="R5" s="57" t="s">
        <v>10</v>
      </c>
      <c r="S5" s="57" t="s">
        <v>11</v>
      </c>
      <c r="T5" s="55"/>
      <c r="U5" s="57" t="s">
        <v>10</v>
      </c>
      <c r="V5" s="57" t="s">
        <v>11</v>
      </c>
      <c r="W5" s="55"/>
      <c r="X5" s="57" t="s">
        <v>10</v>
      </c>
      <c r="Y5" s="57" t="s">
        <v>11</v>
      </c>
      <c r="Z5" s="56"/>
      <c r="AA5" s="57" t="s">
        <v>10</v>
      </c>
      <c r="AB5" s="57" t="s">
        <v>11</v>
      </c>
      <c r="AC5" s="55"/>
      <c r="AD5" s="57" t="s">
        <v>10</v>
      </c>
      <c r="AE5" s="57" t="s">
        <v>11</v>
      </c>
      <c r="AF5" s="55"/>
      <c r="AG5" s="32"/>
      <c r="BR5" s="4" t="s">
        <v>7</v>
      </c>
      <c r="BS5" s="4">
        <v>35</v>
      </c>
      <c r="BT5" s="4">
        <v>5</v>
      </c>
      <c r="BU5" s="4">
        <v>1.5</v>
      </c>
      <c r="BV5" s="4">
        <f t="shared" si="0"/>
        <v>1.1000000000000001</v>
      </c>
      <c r="BW5" s="4">
        <v>1.5</v>
      </c>
      <c r="BX5" s="4">
        <v>1.3</v>
      </c>
      <c r="BY5" s="4">
        <v>1.3</v>
      </c>
      <c r="BZ5" s="4">
        <v>1.3</v>
      </c>
      <c r="CA5" s="4">
        <v>1.3</v>
      </c>
      <c r="CB5" s="4">
        <v>1.3</v>
      </c>
      <c r="CC5" s="4">
        <v>1.3</v>
      </c>
      <c r="CD5" s="4">
        <v>1.3</v>
      </c>
      <c r="CE5" s="4">
        <v>1.3</v>
      </c>
      <c r="CF5" s="4">
        <v>1.4</v>
      </c>
      <c r="CG5" s="4">
        <v>1.4</v>
      </c>
      <c r="CH5" s="4">
        <v>1.4</v>
      </c>
      <c r="CI5" s="5">
        <v>1.4</v>
      </c>
      <c r="CJ5" s="4">
        <v>1.4</v>
      </c>
      <c r="CK5" s="4">
        <v>1.5</v>
      </c>
      <c r="CL5" s="4">
        <v>1.5</v>
      </c>
      <c r="CM5" s="4">
        <v>1.5</v>
      </c>
      <c r="CN5" s="4">
        <v>1.6</v>
      </c>
      <c r="CO5" s="4">
        <v>1.6</v>
      </c>
      <c r="CP5" s="4">
        <v>1.7</v>
      </c>
      <c r="CQ5" s="4">
        <v>1.8</v>
      </c>
      <c r="CR5" s="4">
        <v>1.8</v>
      </c>
      <c r="CS5" s="4">
        <v>1.9</v>
      </c>
      <c r="CT5" s="4">
        <v>2.1</v>
      </c>
      <c r="CU5" s="4">
        <v>2.2999999999999998</v>
      </c>
      <c r="CV5" s="4">
        <v>2.5</v>
      </c>
    </row>
    <row r="6" spans="1:101" ht="15.75" x14ac:dyDescent="0.25">
      <c r="A6" s="46"/>
      <c r="B6" s="52"/>
      <c r="C6" s="46"/>
      <c r="D6" s="46"/>
      <c r="E6" s="46"/>
      <c r="F6" s="47"/>
      <c r="G6" s="31"/>
      <c r="H6" s="55"/>
      <c r="I6" s="58">
        <f>IFERROR(IF(D15&gt;0,0,""),"")</f>
        <v>0</v>
      </c>
      <c r="J6" s="59">
        <f t="shared" ref="J6:J15" ca="1" si="1">IF(I6&gt;$D$15,"",VLOOKUP(I6,$AK$9:$AL$209,2,FALSE))</f>
        <v>1</v>
      </c>
      <c r="K6" s="56"/>
      <c r="L6" s="58">
        <f>IFERROR(IF(AND($D$15&lt;&gt;"",I15&lt;$D$15)=TRUE,I15+IF($AN$7=1,1,IF($AN$7=2,0.5,"")),""),"")</f>
        <v>5</v>
      </c>
      <c r="M6" s="59">
        <f t="shared" ref="M6:M15" ca="1" si="2">IF(L6&gt;$D$15,"",VLOOKUP(L6,$AK$9:$AL$209,2,FALSE))</f>
        <v>1.3</v>
      </c>
      <c r="N6" s="55"/>
      <c r="O6" s="58">
        <f>IFERROR(IF(AND($D$15&lt;&gt;"",MAX($L$15:L15)&lt;$D$15)=TRUE,L15+IF($AN$7=1,1,IF($AN$7=2,0.5,"")),""),"")</f>
        <v>10</v>
      </c>
      <c r="P6" s="59">
        <f t="shared" ref="P6:P15" ca="1" si="3">IF(O6&gt;$D$15,"",VLOOKUP(O6,$AK$9:$AL$209,2,FALSE))</f>
        <v>1.5</v>
      </c>
      <c r="Q6" s="55"/>
      <c r="R6" s="58">
        <f>IFERROR(IF(AND($D$15&lt;&gt;"",MAX($O$15:O15)&lt;$D$15)=TRUE,O15+IF($AN$7=1,1,IF($AN$7=2,0.5,"")),""),"")</f>
        <v>15</v>
      </c>
      <c r="S6" s="59">
        <f t="shared" ref="S6:S15" ca="1" si="4">IF(R6&gt;$D$15,"",VLOOKUP(R6,$AK$9:$AL$209,2,FALSE))</f>
        <v>1.8</v>
      </c>
      <c r="T6" s="55"/>
      <c r="U6" s="58">
        <f>IFERROR(IF(AND($D$15&lt;&gt;"",MAX($R$15:R15)&lt;$D$15)=TRUE,R15+IF($AN$7=1,1,IF($AN$7=2,0.5,"")),""),"")</f>
        <v>20</v>
      </c>
      <c r="V6" s="59">
        <f t="shared" ref="V6:V15" ca="1" si="5">IF(U6&gt;$D$15,"",VLOOKUP(U6,$AK$9:$AL$209,2,FALSE))</f>
        <v>2</v>
      </c>
      <c r="W6" s="55"/>
      <c r="X6" s="58">
        <f>IFERROR(IF(AND($D$15&lt;&gt;"",MAX($U$15:U15)&lt;$D$15)=TRUE,U15+IF($AN$7=1,1,IF($AN$7=2,0.5,"")),""),"")</f>
        <v>25</v>
      </c>
      <c r="Y6" s="59">
        <f t="shared" ref="Y6:Y15" ca="1" si="6">IF(X6&gt;$D$15,"",VLOOKUP(X6,$AK$9:$AL$209,2,FALSE))</f>
        <v>2.2999999999999998</v>
      </c>
      <c r="Z6" s="56"/>
      <c r="AA6" s="58">
        <f>IFERROR(IF(AND($D$15&lt;&gt;"",MAX($X$15:X15)&lt;$D$15)=TRUE,X15+IF($AN$7=1,1,IF($AN$7=2,0.5,"")),""),"")</f>
        <v>30</v>
      </c>
      <c r="AB6" s="59">
        <f t="shared" ref="AB6:AB15" ca="1" si="7">IF(AA6&gt;$D$15,"",VLOOKUP(AA6,$AK$9:$AL$209,2,FALSE))</f>
        <v>2.5</v>
      </c>
      <c r="AC6" s="56"/>
      <c r="AD6" s="58">
        <f>IFERROR(IF(AND($D$15&lt;&gt;"",MAX($AA$15:AA15)&lt;$D$15)=TRUE,AA15+IF($AN$7=1,1,IF($AN$7=2,0.5,"")),""),"")</f>
        <v>35</v>
      </c>
      <c r="AE6" s="59">
        <f t="shared" ref="AE6:AE15" ca="1" si="8">IF(AD6&gt;$D$15,"",VLOOKUP(AD6,$AK$9:$AL$209,2,FALSE))</f>
        <v>2.8</v>
      </c>
      <c r="AF6" s="55"/>
      <c r="AG6" s="32"/>
      <c r="BR6" s="4" t="s">
        <v>8</v>
      </c>
      <c r="BS6" s="4">
        <v>11</v>
      </c>
      <c r="BT6" s="4">
        <v>6</v>
      </c>
      <c r="BU6" s="4">
        <v>2</v>
      </c>
      <c r="BV6" s="4">
        <f t="shared" si="0"/>
        <v>1.1000000000000001</v>
      </c>
      <c r="BW6" s="4">
        <v>2</v>
      </c>
      <c r="BX6" s="4">
        <v>1.3</v>
      </c>
      <c r="BY6" s="4">
        <v>1.4</v>
      </c>
      <c r="BZ6" s="4">
        <v>1.4</v>
      </c>
      <c r="CA6" s="4">
        <v>1.4</v>
      </c>
      <c r="CB6" s="4">
        <v>1.4</v>
      </c>
      <c r="CC6" s="4">
        <v>1.4</v>
      </c>
      <c r="CD6" s="4">
        <v>1.4</v>
      </c>
      <c r="CE6" s="4">
        <v>1.5</v>
      </c>
      <c r="CF6" s="4">
        <v>1.5</v>
      </c>
      <c r="CG6" s="4">
        <v>1.5</v>
      </c>
      <c r="CH6" s="4">
        <v>1.5</v>
      </c>
      <c r="CI6" s="5">
        <v>1.6</v>
      </c>
      <c r="CJ6" s="4">
        <v>1.6</v>
      </c>
      <c r="CK6" s="4">
        <v>1.6</v>
      </c>
      <c r="CL6" s="4">
        <v>1.7</v>
      </c>
      <c r="CM6" s="4">
        <v>1.7</v>
      </c>
      <c r="CN6" s="4">
        <v>1.8</v>
      </c>
      <c r="CO6" s="4">
        <v>1.8</v>
      </c>
      <c r="CP6" s="4">
        <v>1.9</v>
      </c>
      <c r="CQ6" s="4">
        <v>2</v>
      </c>
      <c r="CR6" s="4">
        <v>2.1</v>
      </c>
      <c r="CS6" s="4">
        <v>2.2999999999999998</v>
      </c>
      <c r="CT6" s="4">
        <v>2.4</v>
      </c>
      <c r="CU6" s="4">
        <v>2.7</v>
      </c>
      <c r="CV6" s="4">
        <v>3</v>
      </c>
    </row>
    <row r="7" spans="1:101" x14ac:dyDescent="0.25">
      <c r="A7" s="53"/>
      <c r="B7" s="53"/>
      <c r="C7" s="53"/>
      <c r="D7" s="53"/>
      <c r="E7" s="53"/>
      <c r="F7" s="54"/>
      <c r="G7" s="31"/>
      <c r="H7" s="55"/>
      <c r="I7" s="58">
        <f>IFERROR(IF(AND($D$15&lt;&gt;"",MAX($I$6:I6)&lt;$D$15)=TRUE,I6+IF($AN$7=1,1,IF($AN$7=2,0.5,"")),""),"")</f>
        <v>0.5</v>
      </c>
      <c r="J7" s="59">
        <f t="shared" ca="1" si="1"/>
        <v>1</v>
      </c>
      <c r="K7" s="56"/>
      <c r="L7" s="58">
        <f>IFERROR(IF(AND($D$15&lt;&gt;"",MAX($L$6:L6)&lt;$D$15)=TRUE,L6+IF($AN$7=1,1,IF($AN$7=2,0.5,"")),""),"")</f>
        <v>5.5</v>
      </c>
      <c r="M7" s="59">
        <f t="shared" ca="1" si="2"/>
        <v>1.3</v>
      </c>
      <c r="N7" s="55"/>
      <c r="O7" s="58">
        <f>IFERROR(IF(AND($D$15&lt;&gt;"",MAX($O$6:O6)&lt;$D$15)=TRUE,O6+IF($AN$7=1,1,IF($AN$7=2,0.5,"")),""),"")</f>
        <v>10.5</v>
      </c>
      <c r="P7" s="59">
        <f t="shared" ca="1" si="3"/>
        <v>1.5</v>
      </c>
      <c r="Q7" s="55"/>
      <c r="R7" s="58">
        <f>IFERROR(IF(AND($D$15&lt;&gt;"",MAX($R$6:R6)&lt;$D$15)=TRUE,R6+IF($AN$7=1,1,IF($AN$7=2,0.5,"")),""),"")</f>
        <v>15.5</v>
      </c>
      <c r="S7" s="59">
        <f t="shared" ca="1" si="4"/>
        <v>1.8</v>
      </c>
      <c r="T7" s="55"/>
      <c r="U7" s="58">
        <f>IFERROR(IF(AND($D$15&lt;&gt;"",MAX($U$6:U6)&lt;$D$15)=TRUE,U6+IF($AN$7=1,1,IF($AN$7=2,0.5,"")),""),"")</f>
        <v>20.5</v>
      </c>
      <c r="V7" s="59">
        <f t="shared" ca="1" si="5"/>
        <v>2</v>
      </c>
      <c r="W7" s="55"/>
      <c r="X7" s="58">
        <f>IFERROR(IF(AND($D$15&lt;&gt;"",MAX($X$6:X6)&lt;$D$15)=TRUE,X6+IF($AN$7=1,1,IF($AN$7=2,0.5,"")),""),"")</f>
        <v>25.5</v>
      </c>
      <c r="Y7" s="59">
        <f t="shared" ca="1" si="6"/>
        <v>2.2999999999999998</v>
      </c>
      <c r="Z7" s="56"/>
      <c r="AA7" s="58">
        <f>IFERROR(IF(AND($D$15&lt;&gt;"",MAX($AA$6:AA6)&lt;$D$15)=TRUE,AA6+IF($AN$7=1,1,IF($AN$7=2,0.5,"")),""),"")</f>
        <v>30.5</v>
      </c>
      <c r="AB7" s="59">
        <f t="shared" ca="1" si="7"/>
        <v>2.5</v>
      </c>
      <c r="AC7" s="56"/>
      <c r="AD7" s="58">
        <f>IFERROR(IF(AND($D$15&lt;&gt;"",MAX($AD$6:AD6)&lt;$D$15)=TRUE,AD6+IF($AN$7=1,1,IF($AN$7=2,0.5,"")),""),"")</f>
        <v>35.5</v>
      </c>
      <c r="AE7" s="59">
        <f t="shared" ca="1" si="8"/>
        <v>2.8</v>
      </c>
      <c r="AF7" s="55"/>
      <c r="AG7" s="32"/>
      <c r="AN7" s="22">
        <v>2</v>
      </c>
      <c r="BR7" s="4" t="s">
        <v>9</v>
      </c>
      <c r="BS7" s="4">
        <v>1</v>
      </c>
      <c r="BT7" s="4">
        <v>7</v>
      </c>
      <c r="BU7" s="4">
        <v>2.5</v>
      </c>
      <c r="BV7" s="4">
        <f t="shared" si="0"/>
        <v>1.1000000000000001</v>
      </c>
      <c r="BW7" s="4">
        <v>2.5</v>
      </c>
      <c r="BX7" s="4">
        <v>1.4</v>
      </c>
      <c r="BY7" s="4">
        <v>1.4</v>
      </c>
      <c r="BZ7" s="4">
        <v>1.5</v>
      </c>
      <c r="CA7" s="4">
        <v>1.5</v>
      </c>
      <c r="CB7" s="4">
        <v>1.5</v>
      </c>
      <c r="CC7" s="4">
        <v>1.5</v>
      </c>
      <c r="CD7" s="4">
        <v>1.5</v>
      </c>
      <c r="CE7" s="4">
        <v>1.6</v>
      </c>
      <c r="CF7" s="4">
        <v>1.6</v>
      </c>
      <c r="CG7" s="4">
        <v>1.6</v>
      </c>
      <c r="CH7" s="4">
        <v>1.7</v>
      </c>
      <c r="CI7" s="5">
        <v>1.7</v>
      </c>
      <c r="CJ7" s="4">
        <v>1.7</v>
      </c>
      <c r="CK7" s="4">
        <v>1.8</v>
      </c>
      <c r="CL7" s="4">
        <v>1.8</v>
      </c>
      <c r="CM7" s="4">
        <v>1.9</v>
      </c>
      <c r="CN7" s="4">
        <v>2</v>
      </c>
      <c r="CO7" s="4">
        <v>2</v>
      </c>
      <c r="CP7" s="4">
        <v>2.1</v>
      </c>
      <c r="CQ7" s="4">
        <v>2.2999999999999998</v>
      </c>
      <c r="CR7" s="4">
        <v>2.4</v>
      </c>
      <c r="CS7" s="4">
        <v>2.6</v>
      </c>
      <c r="CT7" s="4">
        <v>2.8</v>
      </c>
      <c r="CU7" s="4">
        <v>3.1</v>
      </c>
      <c r="CV7" s="4">
        <v>3.5</v>
      </c>
    </row>
    <row r="8" spans="1:101" x14ac:dyDescent="0.25">
      <c r="A8" s="41"/>
      <c r="B8" s="28"/>
      <c r="C8" s="28"/>
      <c r="D8" s="28"/>
      <c r="E8" s="28"/>
      <c r="F8" s="39"/>
      <c r="G8" s="31"/>
      <c r="H8" s="55"/>
      <c r="I8" s="58">
        <f>IFERROR(IF(AND($D$15&lt;&gt;"",MAX($I$6:I7)&lt;$D$15)=TRUE,I7+IF($AN$7=1,1,IF($AN$7=2,0.5,"")),""),"")</f>
        <v>1</v>
      </c>
      <c r="J8" s="59">
        <f t="shared" ca="1" si="1"/>
        <v>1.1000000000000001</v>
      </c>
      <c r="K8" s="55"/>
      <c r="L8" s="58">
        <f>IFERROR(IF(AND($D$15&lt;&gt;"",MAX($L$6:L7)&lt;$D$15)=TRUE,L7+IF($AN$7=1,1,IF($AN$7=2,0.5,"")),""),"")</f>
        <v>6</v>
      </c>
      <c r="M8" s="59">
        <f t="shared" ca="1" si="2"/>
        <v>1.3</v>
      </c>
      <c r="N8" s="55"/>
      <c r="O8" s="58">
        <f>IFERROR(IF(AND($D$15&lt;&gt;"",MAX($O$6:O7)&lt;$D$15)=TRUE,O7+IF($AN$7=1,1,IF($AN$7=2,0.5,"")),""),"")</f>
        <v>11</v>
      </c>
      <c r="P8" s="59">
        <f t="shared" ca="1" si="3"/>
        <v>1.6</v>
      </c>
      <c r="Q8" s="55"/>
      <c r="R8" s="58">
        <f>IFERROR(IF(AND($D$15&lt;&gt;"",MAX($R$6:R7)&lt;$D$15)=TRUE,R7+IF($AN$7=1,1,IF($AN$7=2,0.5,"")),""),"")</f>
        <v>16</v>
      </c>
      <c r="S8" s="59">
        <f t="shared" ca="1" si="4"/>
        <v>1.8</v>
      </c>
      <c r="T8" s="55"/>
      <c r="U8" s="58">
        <f>IFERROR(IF(AND($D$15&lt;&gt;"",MAX($U$6:U7)&lt;$D$15)=TRUE,U7+IF($AN$7=1,1,IF($AN$7=2,0.5,"")),""),"")</f>
        <v>21</v>
      </c>
      <c r="V8" s="59">
        <f t="shared" ca="1" si="5"/>
        <v>2.1</v>
      </c>
      <c r="W8" s="55"/>
      <c r="X8" s="58">
        <f>IFERROR(IF(AND($D$15&lt;&gt;"",MAX($X$6:X7)&lt;$D$15)=TRUE,X7+IF($AN$7=1,1,IF($AN$7=2,0.5,"")),""),"")</f>
        <v>26</v>
      </c>
      <c r="Y8" s="59">
        <f t="shared" ca="1" si="6"/>
        <v>2.2999999999999998</v>
      </c>
      <c r="Z8" s="55"/>
      <c r="AA8" s="58">
        <f>IFERROR(IF(AND($D$15&lt;&gt;"",MAX($AA$6:AA7)&lt;$D$15)=TRUE,AA7+IF($AN$7=1,1,IF($AN$7=2,0.5,"")),""),"")</f>
        <v>31</v>
      </c>
      <c r="AB8" s="59">
        <f t="shared" ca="1" si="7"/>
        <v>2.6</v>
      </c>
      <c r="AC8" s="55"/>
      <c r="AD8" s="58">
        <f>IFERROR(IF(AND($D$15&lt;&gt;"",MAX($AD$6:AD7)&lt;$D$15)=TRUE,AD7+IF($AN$7=1,1,IF($AN$7=2,0.5,"")),""),"")</f>
        <v>36</v>
      </c>
      <c r="AE8" s="59">
        <f t="shared" ca="1" si="8"/>
        <v>2.8</v>
      </c>
      <c r="AF8" s="55"/>
      <c r="AG8" s="32"/>
      <c r="AK8" s="67" t="s">
        <v>24</v>
      </c>
      <c r="AL8" s="67"/>
      <c r="AN8" s="23" t="s">
        <v>20</v>
      </c>
      <c r="AO8" s="3" t="s">
        <v>19</v>
      </c>
      <c r="AP8" s="3" t="s">
        <v>17</v>
      </c>
      <c r="AR8" s="67" t="s">
        <v>16</v>
      </c>
      <c r="AS8" s="67"/>
      <c r="AU8" s="3" t="s">
        <v>18</v>
      </c>
      <c r="BT8" s="4">
        <v>8</v>
      </c>
      <c r="BU8" s="4">
        <v>3</v>
      </c>
      <c r="BV8" s="4">
        <f t="shared" si="0"/>
        <v>1.2</v>
      </c>
      <c r="BW8" s="4">
        <v>3</v>
      </c>
      <c r="BX8" s="4">
        <v>1.5</v>
      </c>
      <c r="BY8" s="4">
        <v>1.5</v>
      </c>
      <c r="BZ8" s="4">
        <v>1.6</v>
      </c>
      <c r="CA8" s="4">
        <v>1.6</v>
      </c>
      <c r="CB8" s="4">
        <v>1.6</v>
      </c>
      <c r="CC8" s="4">
        <v>1.6</v>
      </c>
      <c r="CD8" s="4">
        <v>1.7</v>
      </c>
      <c r="CE8" s="4">
        <v>1.7</v>
      </c>
      <c r="CF8" s="4">
        <v>1.7</v>
      </c>
      <c r="CG8" s="4">
        <v>1.8</v>
      </c>
      <c r="CH8" s="4">
        <v>1.8</v>
      </c>
      <c r="CI8" s="5">
        <v>1.8</v>
      </c>
      <c r="CJ8" s="4">
        <v>1.9</v>
      </c>
      <c r="CK8" s="4">
        <v>1.9</v>
      </c>
      <c r="CL8" s="4">
        <v>2</v>
      </c>
      <c r="CM8" s="4">
        <v>2.1</v>
      </c>
      <c r="CN8" s="4">
        <v>2.2000000000000002</v>
      </c>
      <c r="CO8" s="4">
        <v>2.2999999999999998</v>
      </c>
      <c r="CP8" s="4">
        <v>2.4</v>
      </c>
      <c r="CQ8" s="4">
        <v>2.5</v>
      </c>
      <c r="CR8" s="4">
        <v>2.7</v>
      </c>
      <c r="CS8" s="4">
        <v>2.9</v>
      </c>
      <c r="CT8" s="4">
        <v>3.1</v>
      </c>
      <c r="CU8" s="4">
        <v>3.5</v>
      </c>
      <c r="CV8" s="4">
        <v>4</v>
      </c>
    </row>
    <row r="9" spans="1:101" x14ac:dyDescent="0.25">
      <c r="A9" s="41"/>
      <c r="B9" s="68" t="s">
        <v>12</v>
      </c>
      <c r="C9" s="68"/>
      <c r="D9" s="61">
        <v>1</v>
      </c>
      <c r="E9" s="28"/>
      <c r="F9" s="39"/>
      <c r="G9" s="31"/>
      <c r="H9" s="55"/>
      <c r="I9" s="58">
        <f>IFERROR(IF(AND($D$15&lt;&gt;"",MAX($I$6:I8)&lt;$D$15)=TRUE,I8+IF($AN$7=1,1,IF($AN$7=2,0.5,"")),""),"")</f>
        <v>1.5</v>
      </c>
      <c r="J9" s="59">
        <f t="shared" ca="1" si="1"/>
        <v>1.1000000000000001</v>
      </c>
      <c r="K9" s="55"/>
      <c r="L9" s="58">
        <f>IFERROR(IF(AND($D$15&lt;&gt;"",MAX($L$6:L8)&lt;$D$15)=TRUE,L8+IF($AN$7=1,1,IF($AN$7=2,0.5,"")),""),"")</f>
        <v>6.5</v>
      </c>
      <c r="M9" s="59">
        <f t="shared" ca="1" si="2"/>
        <v>1.3</v>
      </c>
      <c r="N9" s="55"/>
      <c r="O9" s="58">
        <f>IFERROR(IF(AND($D$15&lt;&gt;"",MAX($O$6:O8)&lt;$D$15)=TRUE,O8+IF($AN$7=1,1,IF($AN$7=2,0.5,"")),""),"")</f>
        <v>11.5</v>
      </c>
      <c r="P9" s="59">
        <f t="shared" ca="1" si="3"/>
        <v>1.6</v>
      </c>
      <c r="Q9" s="55"/>
      <c r="R9" s="58">
        <f>IFERROR(IF(AND($D$15&lt;&gt;"",MAX($R$6:R8)&lt;$D$15)=TRUE,R8+IF($AN$7=1,1,IF($AN$7=2,0.5,"")),""),"")</f>
        <v>16.5</v>
      </c>
      <c r="S9" s="59">
        <f t="shared" ca="1" si="4"/>
        <v>1.8</v>
      </c>
      <c r="T9" s="55"/>
      <c r="U9" s="58">
        <f>IFERROR(IF(AND($D$15&lt;&gt;"",MAX($U$6:U8)&lt;$D$15)=TRUE,U8+IF($AN$7=1,1,IF($AN$7=2,0.5,"")),""),"")</f>
        <v>21.5</v>
      </c>
      <c r="V9" s="59">
        <f t="shared" ca="1" si="5"/>
        <v>2.1</v>
      </c>
      <c r="W9" s="55"/>
      <c r="X9" s="58">
        <f>IFERROR(IF(AND($D$15&lt;&gt;"",MAX($X$6:X8)&lt;$D$15)=TRUE,X8+IF($AN$7=1,1,IF($AN$7=2,0.5,"")),""),"")</f>
        <v>26.5</v>
      </c>
      <c r="Y9" s="59">
        <f t="shared" ca="1" si="6"/>
        <v>2.2999999999999998</v>
      </c>
      <c r="Z9" s="55"/>
      <c r="AA9" s="58">
        <f>IFERROR(IF(AND($D$15&lt;&gt;"",MAX($AA$6:AA8)&lt;$D$15)=TRUE,AA8+IF($AN$7=1,1,IF($AN$7=2,0.5,"")),""),"")</f>
        <v>31.5</v>
      </c>
      <c r="AB9" s="59">
        <f t="shared" ca="1" si="7"/>
        <v>2.6</v>
      </c>
      <c r="AC9" s="55"/>
      <c r="AD9" s="58">
        <f>IFERROR(IF(AND($D$15&lt;&gt;"",MAX($AD$6:AD8)&lt;$D$15)=TRUE,AD8+IF($AN$7=1,1,IF($AN$7=2,0.5,"")),""),"")</f>
        <v>36.5</v>
      </c>
      <c r="AE9" s="59">
        <f t="shared" ca="1" si="8"/>
        <v>2.8</v>
      </c>
      <c r="AF9" s="55"/>
      <c r="AG9" s="32"/>
      <c r="AK9" s="24">
        <f>IF(D15&lt;&gt;"",0,"")</f>
        <v>0</v>
      </c>
      <c r="AL9" s="25">
        <f ca="1">IF(AK9&lt;=$D$15,IF($D$17=$AZ$9,AO9,IF($D$17=$AZ$10,AN9,IF($D$17=$AZ$11,AU9,""))),"")</f>
        <v>1</v>
      </c>
      <c r="AN9" s="25">
        <f ca="1">IF($AN$1=2024,ROUND(IF(AK9&lt;$D$15*$D$13,(4-$D$9)*(AK9/($D$15*$D$13))+$D$9,($D$11-4)*((AK9-$D$15*$D$13)/($D$15*(1-$D$13)))+4),1),"")</f>
        <v>1</v>
      </c>
      <c r="AO9" s="25">
        <f ca="1">IF($AN$1=2024,IFERROR(IF(AK9&lt;=$D$15,ROUND(AK9/$D$15*($D$11-$D$9)+$D$9,1),""),""),"")</f>
        <v>1</v>
      </c>
      <c r="AP9" s="25">
        <f ca="1">IF($AN$1=2024,IF(AO9&lt;&gt;"",ROUND((AO9-AVERAGE($AO$9:$AO$609))/STDEV($AO$9:$AO$609),1),""),"")</f>
        <v>-1.7</v>
      </c>
      <c r="AR9" s="24">
        <v>-4</v>
      </c>
      <c r="AS9" s="25">
        <v>1.0001199999999999</v>
      </c>
      <c r="AU9" s="25">
        <f ca="1">IF($AN$1=2024,IF(AP9&lt;&gt;"",IF(AP9=MIN($AP$9:$AP$609),1,IF(AP9=MAX($AP$9:$AP$609),7,ROUND(VLOOKUP(AP9,$AR$9:$AS$89,2,FALSE),1))),""),"")</f>
        <v>1</v>
      </c>
      <c r="AZ9" s="3" t="s">
        <v>21</v>
      </c>
      <c r="BT9" s="4">
        <v>9</v>
      </c>
      <c r="BU9" s="4">
        <v>3.5</v>
      </c>
      <c r="BV9" s="4">
        <f t="shared" si="0"/>
        <v>1.2</v>
      </c>
      <c r="BW9" s="4">
        <v>3.5</v>
      </c>
      <c r="BX9" s="4">
        <v>1.6</v>
      </c>
      <c r="BY9" s="4">
        <v>1.6</v>
      </c>
      <c r="BZ9" s="4">
        <v>1.6</v>
      </c>
      <c r="CA9" s="4">
        <v>1.7</v>
      </c>
      <c r="CB9" s="4">
        <v>1.7</v>
      </c>
      <c r="CC9" s="4">
        <v>1.7</v>
      </c>
      <c r="CD9" s="4">
        <v>1.8</v>
      </c>
      <c r="CE9" s="4">
        <v>1.8</v>
      </c>
      <c r="CF9" s="4">
        <v>1.8</v>
      </c>
      <c r="CG9" s="4">
        <v>1.9</v>
      </c>
      <c r="CH9" s="4">
        <v>1.9</v>
      </c>
      <c r="CI9" s="5">
        <v>2</v>
      </c>
      <c r="CJ9" s="4">
        <v>2</v>
      </c>
      <c r="CK9" s="4">
        <v>2.1</v>
      </c>
      <c r="CL9" s="4">
        <v>2.2000000000000002</v>
      </c>
      <c r="CM9" s="4">
        <v>2.2999999999999998</v>
      </c>
      <c r="CN9" s="4">
        <v>2.2999999999999998</v>
      </c>
      <c r="CO9" s="4">
        <v>2.5</v>
      </c>
      <c r="CP9" s="4">
        <v>2.6</v>
      </c>
      <c r="CQ9" s="4">
        <v>2.8</v>
      </c>
      <c r="CR9" s="4">
        <v>2.9</v>
      </c>
      <c r="CS9" s="4">
        <v>3.2</v>
      </c>
      <c r="CT9" s="4">
        <v>3.5</v>
      </c>
      <c r="CU9" s="4">
        <v>3.9</v>
      </c>
      <c r="CV9" s="4">
        <v>4.8</v>
      </c>
    </row>
    <row r="10" spans="1:101" x14ac:dyDescent="0.25">
      <c r="A10" s="41"/>
      <c r="B10" s="29"/>
      <c r="C10" s="29"/>
      <c r="D10" s="27"/>
      <c r="E10" s="28"/>
      <c r="F10" s="39"/>
      <c r="G10" s="31"/>
      <c r="H10" s="55"/>
      <c r="I10" s="58">
        <f>IFERROR(IF(AND($D$15&lt;&gt;"",MAX($I$6:I9)&lt;$D$15)=TRUE,I9+IF($AN$7=1,1,IF($AN$7=2,0.5,"")),""),"")</f>
        <v>2</v>
      </c>
      <c r="J10" s="59">
        <f t="shared" ca="1" si="1"/>
        <v>1.1000000000000001</v>
      </c>
      <c r="K10" s="55"/>
      <c r="L10" s="58">
        <f>IFERROR(IF(AND($D$15&lt;&gt;"",MAX($L$6:L9)&lt;$D$15)=TRUE,L9+IF($AN$7=1,1,IF($AN$7=2,0.5,"")),""),"")</f>
        <v>7</v>
      </c>
      <c r="M10" s="59">
        <f t="shared" ca="1" si="2"/>
        <v>1.4</v>
      </c>
      <c r="N10" s="55"/>
      <c r="O10" s="58">
        <f>IFERROR(IF(AND($D$15&lt;&gt;"",MAX($O$6:O9)&lt;$D$15)=TRUE,O9+IF($AN$7=1,1,IF($AN$7=2,0.5,"")),""),"")</f>
        <v>12</v>
      </c>
      <c r="P10" s="59">
        <f t="shared" ca="1" si="3"/>
        <v>1.6</v>
      </c>
      <c r="Q10" s="55"/>
      <c r="R10" s="58">
        <f>IFERROR(IF(AND($D$15&lt;&gt;"",MAX($R$6:R9)&lt;$D$15)=TRUE,R9+IF($AN$7=1,1,IF($AN$7=2,0.5,"")),""),"")</f>
        <v>17</v>
      </c>
      <c r="S10" s="59">
        <f t="shared" ca="1" si="4"/>
        <v>1.9</v>
      </c>
      <c r="T10" s="55"/>
      <c r="U10" s="58">
        <f>IFERROR(IF(AND($D$15&lt;&gt;"",MAX($U$6:U9)&lt;$D$15)=TRUE,U9+IF($AN$7=1,1,IF($AN$7=2,0.5,"")),""),"")</f>
        <v>22</v>
      </c>
      <c r="V10" s="59">
        <f t="shared" ca="1" si="5"/>
        <v>2.1</v>
      </c>
      <c r="W10" s="55"/>
      <c r="X10" s="58">
        <f>IFERROR(IF(AND($D$15&lt;&gt;"",MAX($X$6:X9)&lt;$D$15)=TRUE,X9+IF($AN$7=1,1,IF($AN$7=2,0.5,"")),""),"")</f>
        <v>27</v>
      </c>
      <c r="Y10" s="59">
        <f t="shared" ca="1" si="6"/>
        <v>2.4</v>
      </c>
      <c r="Z10" s="55"/>
      <c r="AA10" s="58">
        <f>IFERROR(IF(AND($D$15&lt;&gt;"",MAX($AA$6:AA9)&lt;$D$15)=TRUE,AA9+IF($AN$7=1,1,IF($AN$7=2,0.5,"")),""),"")</f>
        <v>32</v>
      </c>
      <c r="AB10" s="59">
        <f t="shared" ca="1" si="7"/>
        <v>2.6</v>
      </c>
      <c r="AC10" s="55"/>
      <c r="AD10" s="58">
        <f>IFERROR(IF(AND($D$15&lt;&gt;"",MAX($AD$6:AD9)&lt;$D$15)=TRUE,AD9+IF($AN$7=1,1,IF($AN$7=2,0.5,"")),""),"")</f>
        <v>37</v>
      </c>
      <c r="AE10" s="59">
        <f t="shared" ca="1" si="8"/>
        <v>2.9</v>
      </c>
      <c r="AF10" s="55"/>
      <c r="AG10" s="32"/>
      <c r="AK10" s="24">
        <f>IF(AND($D$15&lt;&gt;"",MAX($AK$9:AK9)&lt;$D$15)=TRUE,AK9+0.5,"")</f>
        <v>0.5</v>
      </c>
      <c r="AL10" s="25">
        <f t="shared" ref="AL10:AL72" ca="1" si="9">IF(AK10&lt;=$D$15,IF($D$17=$AZ$9,AO10,IF($D$17=$AZ$10,AN10,IF($D$17=$AZ$11,AU10,""))),"")</f>
        <v>1</v>
      </c>
      <c r="AN10" s="25">
        <f t="shared" ref="AN10:AN73" ca="1" si="10">IF($AN$1=2024,ROUND(IF(AK10&lt;$D$15*$D$13,(4-$D$9)*(AK10/($D$15*$D$13))+$D$9,($D$11-4)*((AK10-$D$15*$D$13)/($D$15*(1-$D$13)))+4),1),"")</f>
        <v>1</v>
      </c>
      <c r="AO10" s="25">
        <f t="shared" ref="AO10:AO73" ca="1" si="11">IF($AN$1=2024,IFERROR(IF(AK10&lt;=$D$15,ROUND(AK10/$D$15*($D$11-$D$9)+$D$9,1),""),""),"")</f>
        <v>1</v>
      </c>
      <c r="AP10" s="25">
        <f t="shared" ref="AP10:AP73" ca="1" si="12">IF($AN$1=2024,IF(AO10&lt;&gt;"",ROUND((AO10-AVERAGE($AO$9:$AO$609))/STDEV($AO$9:$AO$609),1),""),"")</f>
        <v>-1.7</v>
      </c>
      <c r="AR10" s="24">
        <v>-3.9</v>
      </c>
      <c r="AS10" s="25">
        <v>1.0001800000000001</v>
      </c>
      <c r="AU10" s="25">
        <f t="shared" ref="AU10:AU73" ca="1" si="13">IF($AN$1=2024,IF(AP10&lt;&gt;"",IF(AP10=MIN($AP$9:$AP$609),1,IF(AP10=MAX($AP$9:$AP$609),7,ROUND(VLOOKUP(AP10,$AR$9:$AS$89,2,FALSE),1))),""),"")</f>
        <v>1</v>
      </c>
      <c r="AZ10" s="3" t="s">
        <v>20</v>
      </c>
      <c r="BT10" s="4">
        <v>10</v>
      </c>
      <c r="BU10" s="4">
        <v>4</v>
      </c>
      <c r="BV10" s="4">
        <f t="shared" si="0"/>
        <v>1.2</v>
      </c>
      <c r="BW10" s="4">
        <v>4</v>
      </c>
      <c r="BX10" s="4">
        <v>1.7</v>
      </c>
      <c r="BY10" s="4">
        <v>1.7</v>
      </c>
      <c r="BZ10" s="4">
        <v>1.7</v>
      </c>
      <c r="CA10" s="4">
        <v>1.8</v>
      </c>
      <c r="CB10" s="4">
        <v>1.8</v>
      </c>
      <c r="CC10" s="4">
        <v>1.8</v>
      </c>
      <c r="CD10" s="4">
        <v>1.9</v>
      </c>
      <c r="CE10" s="4">
        <v>1.9</v>
      </c>
      <c r="CF10" s="4">
        <v>2</v>
      </c>
      <c r="CG10" s="4">
        <v>2</v>
      </c>
      <c r="CH10" s="4">
        <v>2.1</v>
      </c>
      <c r="CI10" s="5">
        <v>2.1</v>
      </c>
      <c r="CJ10" s="4">
        <v>2.2000000000000002</v>
      </c>
      <c r="CK10" s="4">
        <v>2.2999999999999998</v>
      </c>
      <c r="CL10" s="4">
        <v>2.2999999999999998</v>
      </c>
      <c r="CM10" s="4">
        <v>2.4</v>
      </c>
      <c r="CN10" s="4">
        <v>2.5</v>
      </c>
      <c r="CO10" s="4">
        <v>2.7</v>
      </c>
      <c r="CP10" s="4">
        <v>2.8</v>
      </c>
      <c r="CQ10" s="4">
        <v>3</v>
      </c>
      <c r="CR10" s="4">
        <v>3.2</v>
      </c>
      <c r="CS10" s="4">
        <v>3.5</v>
      </c>
      <c r="CT10" s="4">
        <v>3.9</v>
      </c>
      <c r="CU10" s="4">
        <v>4.5</v>
      </c>
      <c r="CV10" s="4">
        <v>5.5</v>
      </c>
    </row>
    <row r="11" spans="1:101" x14ac:dyDescent="0.25">
      <c r="A11" s="41"/>
      <c r="B11" s="68" t="s">
        <v>13</v>
      </c>
      <c r="C11" s="68"/>
      <c r="D11" s="61">
        <v>7</v>
      </c>
      <c r="E11" s="28"/>
      <c r="F11" s="39"/>
      <c r="G11" s="31"/>
      <c r="H11" s="55"/>
      <c r="I11" s="58">
        <f>IFERROR(IF(AND($D$15&lt;&gt;"",MAX($I$6:I10)&lt;$D$15)=TRUE,I10+IF($AN$7=1,1,IF($AN$7=2,0.5,"")),""),"")</f>
        <v>2.5</v>
      </c>
      <c r="J11" s="59">
        <f t="shared" ca="1" si="1"/>
        <v>1.1000000000000001</v>
      </c>
      <c r="K11" s="55"/>
      <c r="L11" s="58">
        <f>IFERROR(IF(AND($D$15&lt;&gt;"",MAX($L$6:L10)&lt;$D$15)=TRUE,L10+IF($AN$7=1,1,IF($AN$7=2,0.5,"")),""),"")</f>
        <v>7.5</v>
      </c>
      <c r="M11" s="59">
        <f t="shared" ca="1" si="2"/>
        <v>1.4</v>
      </c>
      <c r="N11" s="55"/>
      <c r="O11" s="58">
        <f>IFERROR(IF(AND($D$15&lt;&gt;"",MAX($O$6:O10)&lt;$D$15)=TRUE,O10+IF($AN$7=1,1,IF($AN$7=2,0.5,"")),""),"")</f>
        <v>12.5</v>
      </c>
      <c r="P11" s="59">
        <f t="shared" ca="1" si="3"/>
        <v>1.6</v>
      </c>
      <c r="Q11" s="55"/>
      <c r="R11" s="58">
        <f>IFERROR(IF(AND($D$15&lt;&gt;"",MAX($R$6:R10)&lt;$D$15)=TRUE,R10+IF($AN$7=1,1,IF($AN$7=2,0.5,"")),""),"")</f>
        <v>17.5</v>
      </c>
      <c r="S11" s="59">
        <f t="shared" ca="1" si="4"/>
        <v>1.9</v>
      </c>
      <c r="T11" s="55"/>
      <c r="U11" s="58">
        <f>IFERROR(IF(AND($D$15&lt;&gt;"",MAX($U$6:U10)&lt;$D$15)=TRUE,U10+IF($AN$7=1,1,IF($AN$7=2,0.5,"")),""),"")</f>
        <v>22.5</v>
      </c>
      <c r="V11" s="59">
        <f t="shared" ca="1" si="5"/>
        <v>2.1</v>
      </c>
      <c r="W11" s="55"/>
      <c r="X11" s="58">
        <f>IFERROR(IF(AND($D$15&lt;&gt;"",MAX($X$6:X10)&lt;$D$15)=TRUE,X10+IF($AN$7=1,1,IF($AN$7=2,0.5,"")),""),"")</f>
        <v>27.5</v>
      </c>
      <c r="Y11" s="59">
        <f t="shared" ca="1" si="6"/>
        <v>2.4</v>
      </c>
      <c r="Z11" s="55"/>
      <c r="AA11" s="58">
        <f>IFERROR(IF(AND($D$15&lt;&gt;"",MAX($AA$6:AA10)&lt;$D$15)=TRUE,AA10+IF($AN$7=1,1,IF($AN$7=2,0.5,"")),""),"")</f>
        <v>32.5</v>
      </c>
      <c r="AB11" s="59">
        <f t="shared" ca="1" si="7"/>
        <v>2.6</v>
      </c>
      <c r="AC11" s="55"/>
      <c r="AD11" s="58">
        <f>IFERROR(IF(AND($D$15&lt;&gt;"",MAX($AD$6:AD10)&lt;$D$15)=TRUE,AD10+IF($AN$7=1,1,IF($AN$7=2,0.5,"")),""),"")</f>
        <v>37.5</v>
      </c>
      <c r="AE11" s="59">
        <f t="shared" ca="1" si="8"/>
        <v>2.9</v>
      </c>
      <c r="AF11" s="55"/>
      <c r="AG11" s="32"/>
      <c r="AK11" s="24">
        <f>IF(AND($D$15&lt;&gt;"",MAX($AK$9:AK10)&lt;$D$15)=TRUE,AK10+0.5,"")</f>
        <v>1</v>
      </c>
      <c r="AL11" s="25">
        <f t="shared" ca="1" si="9"/>
        <v>1.1000000000000001</v>
      </c>
      <c r="AN11" s="25">
        <f t="shared" ca="1" si="10"/>
        <v>1.1000000000000001</v>
      </c>
      <c r="AO11" s="25">
        <f t="shared" ca="1" si="11"/>
        <v>1.1000000000000001</v>
      </c>
      <c r="AP11" s="25">
        <f t="shared" ca="1" si="12"/>
        <v>-1.7</v>
      </c>
      <c r="AR11" s="24">
        <v>-3.8</v>
      </c>
      <c r="AS11" s="25">
        <v>1.0003</v>
      </c>
      <c r="AU11" s="25">
        <f t="shared" ca="1" si="13"/>
        <v>1</v>
      </c>
      <c r="AZ11" s="3" t="s">
        <v>23</v>
      </c>
      <c r="BT11" s="4">
        <v>11</v>
      </c>
      <c r="BU11" s="4">
        <v>4.5</v>
      </c>
      <c r="BV11" s="4">
        <f t="shared" si="0"/>
        <v>1.3</v>
      </c>
      <c r="BW11" s="4">
        <v>4.5</v>
      </c>
      <c r="BX11" s="4">
        <v>1.8</v>
      </c>
      <c r="BY11" s="4">
        <v>1.8</v>
      </c>
      <c r="BZ11" s="4">
        <v>1.8</v>
      </c>
      <c r="CA11" s="4">
        <v>1.9</v>
      </c>
      <c r="CB11" s="4">
        <v>1.9</v>
      </c>
      <c r="CC11" s="4">
        <v>1.9</v>
      </c>
      <c r="CD11" s="4">
        <v>2</v>
      </c>
      <c r="CE11" s="4">
        <v>2</v>
      </c>
      <c r="CF11" s="4">
        <v>2.1</v>
      </c>
      <c r="CG11" s="4">
        <v>2.1</v>
      </c>
      <c r="CH11" s="4">
        <v>2.2000000000000002</v>
      </c>
      <c r="CI11" s="5">
        <v>2.2999999999999998</v>
      </c>
      <c r="CJ11" s="4">
        <v>2.2999999999999998</v>
      </c>
      <c r="CK11" s="4">
        <v>2.4</v>
      </c>
      <c r="CL11" s="4">
        <v>2.5</v>
      </c>
      <c r="CM11" s="4">
        <v>2.6</v>
      </c>
      <c r="CN11" s="4">
        <v>2.7</v>
      </c>
      <c r="CO11" s="4">
        <v>2.9</v>
      </c>
      <c r="CP11" s="4">
        <v>3</v>
      </c>
      <c r="CQ11" s="4">
        <v>3.3</v>
      </c>
      <c r="CR11" s="4">
        <v>3.5</v>
      </c>
      <c r="CS11" s="4">
        <v>3.8</v>
      </c>
      <c r="CT11" s="4">
        <v>4.3</v>
      </c>
      <c r="CU11" s="4">
        <v>5.0999999999999996</v>
      </c>
      <c r="CV11" s="4">
        <v>6.3</v>
      </c>
    </row>
    <row r="12" spans="1:101" x14ac:dyDescent="0.25">
      <c r="A12" s="41"/>
      <c r="B12" s="29"/>
      <c r="C12" s="29"/>
      <c r="D12" s="27"/>
      <c r="E12" s="28"/>
      <c r="F12" s="39"/>
      <c r="G12" s="31"/>
      <c r="H12" s="55"/>
      <c r="I12" s="58">
        <f>IFERROR(IF(AND($D$15&lt;&gt;"",MAX($I$6:I11)&lt;$D$15)=TRUE,I11+IF($AN$7=1,1,IF($AN$7=2,0.5,"")),""),"")</f>
        <v>3</v>
      </c>
      <c r="J12" s="59">
        <f t="shared" ca="1" si="1"/>
        <v>1.2</v>
      </c>
      <c r="K12" s="55"/>
      <c r="L12" s="58">
        <f>IFERROR(IF(AND($D$15&lt;&gt;"",MAX($L$6:L11)&lt;$D$15)=TRUE,L11+IF($AN$7=1,1,IF($AN$7=2,0.5,"")),""),"")</f>
        <v>8</v>
      </c>
      <c r="M12" s="59">
        <f t="shared" ca="1" si="2"/>
        <v>1.4</v>
      </c>
      <c r="N12" s="55"/>
      <c r="O12" s="58">
        <f>IFERROR(IF(AND($D$15&lt;&gt;"",MAX($O$6:O11)&lt;$D$15)=TRUE,O11+IF($AN$7=1,1,IF($AN$7=2,0.5,"")),""),"")</f>
        <v>13</v>
      </c>
      <c r="P12" s="59">
        <f t="shared" ca="1" si="3"/>
        <v>1.7</v>
      </c>
      <c r="Q12" s="55"/>
      <c r="R12" s="58">
        <f>IFERROR(IF(AND($D$15&lt;&gt;"",MAX($R$6:R11)&lt;$D$15)=TRUE,R11+IF($AN$7=1,1,IF($AN$7=2,0.5,"")),""),"")</f>
        <v>18</v>
      </c>
      <c r="S12" s="59">
        <f t="shared" ca="1" si="4"/>
        <v>1.9</v>
      </c>
      <c r="T12" s="55"/>
      <c r="U12" s="58">
        <f>IFERROR(IF(AND($D$15&lt;&gt;"",MAX($U$6:U11)&lt;$D$15)=TRUE,U11+IF($AN$7=1,1,IF($AN$7=2,0.5,"")),""),"")</f>
        <v>23</v>
      </c>
      <c r="V12" s="59">
        <f t="shared" ca="1" si="5"/>
        <v>2.2000000000000002</v>
      </c>
      <c r="W12" s="55"/>
      <c r="X12" s="58">
        <f>IFERROR(IF(AND($D$15&lt;&gt;"",MAX($X$6:X11)&lt;$D$15)=TRUE,X11+IF($AN$7=1,1,IF($AN$7=2,0.5,"")),""),"")</f>
        <v>28</v>
      </c>
      <c r="Y12" s="59">
        <f t="shared" ca="1" si="6"/>
        <v>2.4</v>
      </c>
      <c r="Z12" s="55"/>
      <c r="AA12" s="58">
        <f>IFERROR(IF(AND($D$15&lt;&gt;"",MAX($AA$6:AA11)&lt;$D$15)=TRUE,AA11+IF($AN$7=1,1,IF($AN$7=2,0.5,"")),""),"")</f>
        <v>33</v>
      </c>
      <c r="AB12" s="59">
        <f t="shared" ca="1" si="7"/>
        <v>2.7</v>
      </c>
      <c r="AC12" s="55"/>
      <c r="AD12" s="58">
        <f>IFERROR(IF(AND($D$15&lt;&gt;"",MAX($AD$6:AD11)&lt;$D$15)=TRUE,AD11+IF($AN$7=1,1,IF($AN$7=2,0.5,"")),""),"")</f>
        <v>38</v>
      </c>
      <c r="AE12" s="59">
        <f t="shared" ca="1" si="8"/>
        <v>2.9</v>
      </c>
      <c r="AF12" s="55"/>
      <c r="AG12" s="32"/>
      <c r="AK12" s="24">
        <f>IF(AND($D$15&lt;&gt;"",MAX($AK$9:AK11)&lt;$D$15)=TRUE,AK11+0.5,"")</f>
        <v>1.5</v>
      </c>
      <c r="AL12" s="25">
        <f t="shared" ca="1" si="9"/>
        <v>1.1000000000000001</v>
      </c>
      <c r="AN12" s="25">
        <f t="shared" ca="1" si="10"/>
        <v>1.1000000000000001</v>
      </c>
      <c r="AO12" s="25">
        <f t="shared" ca="1" si="11"/>
        <v>1.1000000000000001</v>
      </c>
      <c r="AP12" s="25">
        <f t="shared" ca="1" si="12"/>
        <v>-1.7</v>
      </c>
      <c r="AR12" s="24">
        <v>-3.7</v>
      </c>
      <c r="AS12" s="25">
        <v>1.00048</v>
      </c>
      <c r="AU12" s="25">
        <f t="shared" ca="1" si="13"/>
        <v>1</v>
      </c>
      <c r="BT12" s="4">
        <v>12</v>
      </c>
      <c r="BU12" s="4">
        <v>5</v>
      </c>
      <c r="BV12" s="4">
        <f t="shared" si="0"/>
        <v>1.3</v>
      </c>
      <c r="BW12" s="4">
        <v>5</v>
      </c>
      <c r="BX12" s="4">
        <v>1.9</v>
      </c>
      <c r="BY12" s="4">
        <v>1.9</v>
      </c>
      <c r="BZ12" s="4">
        <v>1.9</v>
      </c>
      <c r="CA12" s="4">
        <v>2</v>
      </c>
      <c r="CB12" s="4">
        <v>2</v>
      </c>
      <c r="CC12" s="4">
        <v>2</v>
      </c>
      <c r="CD12" s="4">
        <v>2.1</v>
      </c>
      <c r="CE12" s="4">
        <v>2.1</v>
      </c>
      <c r="CF12" s="4">
        <v>2.2000000000000002</v>
      </c>
      <c r="CG12" s="4">
        <v>2.2999999999999998</v>
      </c>
      <c r="CH12" s="4">
        <v>2.2999999999999998</v>
      </c>
      <c r="CI12" s="5">
        <v>2.4</v>
      </c>
      <c r="CJ12" s="4">
        <v>2.5</v>
      </c>
      <c r="CK12" s="4">
        <v>2.6</v>
      </c>
      <c r="CL12" s="4">
        <v>2.7</v>
      </c>
      <c r="CM12" s="4">
        <v>2.8</v>
      </c>
      <c r="CN12" s="4">
        <v>2.9</v>
      </c>
      <c r="CO12" s="4">
        <v>3.1</v>
      </c>
      <c r="CP12" s="4">
        <v>3.3</v>
      </c>
      <c r="CQ12" s="4">
        <v>3.5</v>
      </c>
      <c r="CR12" s="4">
        <v>3.8</v>
      </c>
      <c r="CS12" s="4">
        <v>4.2</v>
      </c>
      <c r="CT12" s="4">
        <v>4.9000000000000004</v>
      </c>
      <c r="CU12" s="4">
        <v>5.8</v>
      </c>
      <c r="CV12" s="4">
        <v>7</v>
      </c>
    </row>
    <row r="13" spans="1:101" x14ac:dyDescent="0.25">
      <c r="A13" s="41"/>
      <c r="B13" s="68" t="s">
        <v>14</v>
      </c>
      <c r="C13" s="68"/>
      <c r="D13" s="62">
        <v>0.6</v>
      </c>
      <c r="E13" s="28"/>
      <c r="F13" s="39"/>
      <c r="G13" s="31"/>
      <c r="H13" s="55"/>
      <c r="I13" s="58">
        <f>IFERROR(IF(AND($D$15&lt;&gt;"",MAX($I$6:I12)&lt;$D$15)=TRUE,I12+IF($AN$7=1,1,IF($AN$7=2,0.5,"")),""),"")</f>
        <v>3.5</v>
      </c>
      <c r="J13" s="59">
        <f t="shared" ca="1" si="1"/>
        <v>1.2</v>
      </c>
      <c r="K13" s="55"/>
      <c r="L13" s="58">
        <f>IFERROR(IF(AND($D$15&lt;&gt;"",MAX($L$6:L12)&lt;$D$15)=TRUE,L12+IF($AN$7=1,1,IF($AN$7=2,0.5,"")),""),"")</f>
        <v>8.5</v>
      </c>
      <c r="M13" s="59">
        <f t="shared" ca="1" si="2"/>
        <v>1.4</v>
      </c>
      <c r="N13" s="55"/>
      <c r="O13" s="58">
        <f>IFERROR(IF(AND($D$15&lt;&gt;"",MAX($O$6:O12)&lt;$D$15)=TRUE,O12+IF($AN$7=1,1,IF($AN$7=2,0.5,"")),""),"")</f>
        <v>13.5</v>
      </c>
      <c r="P13" s="59">
        <f t="shared" ca="1" si="3"/>
        <v>1.7</v>
      </c>
      <c r="Q13" s="55"/>
      <c r="R13" s="58">
        <f>IFERROR(IF(AND($D$15&lt;&gt;"",MAX($R$6:R12)&lt;$D$15)=TRUE,R12+IF($AN$7=1,1,IF($AN$7=2,0.5,"")),""),"")</f>
        <v>18.5</v>
      </c>
      <c r="S13" s="59">
        <f t="shared" ca="1" si="4"/>
        <v>1.9</v>
      </c>
      <c r="T13" s="55"/>
      <c r="U13" s="58">
        <f>IFERROR(IF(AND($D$15&lt;&gt;"",MAX($U$6:U12)&lt;$D$15)=TRUE,U12+IF($AN$7=1,1,IF($AN$7=2,0.5,"")),""),"")</f>
        <v>23.5</v>
      </c>
      <c r="V13" s="59">
        <f t="shared" ca="1" si="5"/>
        <v>2.2000000000000002</v>
      </c>
      <c r="W13" s="55"/>
      <c r="X13" s="58">
        <f>IFERROR(IF(AND($D$15&lt;&gt;"",MAX($X$6:X12)&lt;$D$15)=TRUE,X12+IF($AN$7=1,1,IF($AN$7=2,0.5,"")),""),"")</f>
        <v>28.5</v>
      </c>
      <c r="Y13" s="59">
        <f t="shared" ca="1" si="6"/>
        <v>2.4</v>
      </c>
      <c r="Z13" s="55"/>
      <c r="AA13" s="58">
        <f>IFERROR(IF(AND($D$15&lt;&gt;"",MAX($AA$6:AA12)&lt;$D$15)=TRUE,AA12+IF($AN$7=1,1,IF($AN$7=2,0.5,"")),""),"")</f>
        <v>33.5</v>
      </c>
      <c r="AB13" s="59">
        <f t="shared" ca="1" si="7"/>
        <v>2.7</v>
      </c>
      <c r="AC13" s="55"/>
      <c r="AD13" s="58">
        <f>IFERROR(IF(AND($D$15&lt;&gt;"",MAX($AD$6:AD12)&lt;$D$15)=TRUE,AD12+IF($AN$7=1,1,IF($AN$7=2,0.5,"")),""),"")</f>
        <v>38.5</v>
      </c>
      <c r="AE13" s="59">
        <f t="shared" ca="1" si="8"/>
        <v>2.9</v>
      </c>
      <c r="AF13" s="55"/>
      <c r="AG13" s="32"/>
      <c r="AK13" s="24">
        <f>IF(AND($D$15&lt;&gt;"",MAX($AK$9:AK12)&lt;$D$15)=TRUE,AK12+0.5,"")</f>
        <v>2</v>
      </c>
      <c r="AL13" s="25">
        <f t="shared" ca="1" si="9"/>
        <v>1.1000000000000001</v>
      </c>
      <c r="AN13" s="25">
        <f t="shared" ca="1" si="10"/>
        <v>1.1000000000000001</v>
      </c>
      <c r="AO13" s="25">
        <f t="shared" ca="1" si="11"/>
        <v>1.1000000000000001</v>
      </c>
      <c r="AP13" s="25">
        <f t="shared" ca="1" si="12"/>
        <v>-1.7</v>
      </c>
      <c r="AR13" s="24">
        <v>-3.6</v>
      </c>
      <c r="AS13" s="25">
        <v>1.0006600000000001</v>
      </c>
      <c r="AU13" s="25">
        <f t="shared" ca="1" si="13"/>
        <v>1</v>
      </c>
      <c r="BT13" s="4">
        <v>13</v>
      </c>
      <c r="BU13" s="4">
        <v>5.5</v>
      </c>
      <c r="BV13" s="4">
        <f t="shared" si="0"/>
        <v>1.3</v>
      </c>
      <c r="BW13" s="4">
        <v>5.5</v>
      </c>
      <c r="BX13" s="4">
        <v>1.9</v>
      </c>
      <c r="BY13" s="4">
        <v>2</v>
      </c>
      <c r="BZ13" s="4">
        <v>2</v>
      </c>
      <c r="CA13" s="4">
        <v>2.1</v>
      </c>
      <c r="CB13" s="4">
        <v>2.1</v>
      </c>
      <c r="CC13" s="4">
        <v>2.1</v>
      </c>
      <c r="CD13" s="4">
        <v>2.2000000000000002</v>
      </c>
      <c r="CE13" s="4">
        <v>2.2999999999999998</v>
      </c>
      <c r="CF13" s="4">
        <v>2.2999999999999998</v>
      </c>
      <c r="CG13" s="4">
        <v>2.4</v>
      </c>
      <c r="CH13" s="4">
        <v>2.4</v>
      </c>
      <c r="CI13" s="5">
        <v>2.5</v>
      </c>
      <c r="CJ13" s="4">
        <v>2.6</v>
      </c>
      <c r="CK13" s="4">
        <v>2.7</v>
      </c>
      <c r="CL13" s="4">
        <v>2.8</v>
      </c>
      <c r="CM13" s="4">
        <v>3</v>
      </c>
      <c r="CN13" s="4">
        <v>3.1</v>
      </c>
      <c r="CO13" s="4">
        <v>3.3</v>
      </c>
      <c r="CP13" s="4">
        <v>3.5</v>
      </c>
      <c r="CQ13" s="4">
        <v>3.8</v>
      </c>
      <c r="CR13" s="4">
        <v>4.0999999999999996</v>
      </c>
      <c r="CS13" s="4">
        <v>4.7</v>
      </c>
      <c r="CT13" s="4">
        <v>5.4</v>
      </c>
      <c r="CU13" s="4">
        <v>6.4</v>
      </c>
    </row>
    <row r="14" spans="1:101" x14ac:dyDescent="0.25">
      <c r="A14" s="41"/>
      <c r="B14" s="29"/>
      <c r="C14" s="29"/>
      <c r="D14" s="27"/>
      <c r="E14" s="28"/>
      <c r="F14" s="39"/>
      <c r="G14" s="31"/>
      <c r="H14" s="55"/>
      <c r="I14" s="58">
        <f>IFERROR(IF(AND($D$15&lt;&gt;"",MAX($I$6:I13)&lt;$D$15)=TRUE,I13+IF($AN$7=1,1,IF($AN$7=2,0.5,"")),""),"")</f>
        <v>4</v>
      </c>
      <c r="J14" s="59">
        <f t="shared" ca="1" si="1"/>
        <v>1.2</v>
      </c>
      <c r="K14" s="55"/>
      <c r="L14" s="58">
        <f>IFERROR(IF(AND($D$15&lt;&gt;"",MAX($L$6:L13)&lt;$D$15)=TRUE,L13+IF($AN$7=1,1,IF($AN$7=2,0.5,"")),""),"")</f>
        <v>9</v>
      </c>
      <c r="M14" s="59">
        <f t="shared" ca="1" si="2"/>
        <v>1.5</v>
      </c>
      <c r="N14" s="55"/>
      <c r="O14" s="58">
        <f>IFERROR(IF(AND($D$15&lt;&gt;"",MAX($O$6:O13)&lt;$D$15)=TRUE,O13+IF($AN$7=1,1,IF($AN$7=2,0.5,"")),""),"")</f>
        <v>14</v>
      </c>
      <c r="P14" s="59">
        <f t="shared" ca="1" si="3"/>
        <v>1.7</v>
      </c>
      <c r="Q14" s="55"/>
      <c r="R14" s="58">
        <f>IFERROR(IF(AND($D$15&lt;&gt;"",MAX($R$6:R13)&lt;$D$15)=TRUE,R13+IF($AN$7=1,1,IF($AN$7=2,0.5,"")),""),"")</f>
        <v>19</v>
      </c>
      <c r="S14" s="59">
        <f t="shared" ca="1" si="4"/>
        <v>2</v>
      </c>
      <c r="T14" s="55"/>
      <c r="U14" s="58">
        <f>IFERROR(IF(AND($D$15&lt;&gt;"",MAX($U$6:U13)&lt;$D$15)=TRUE,U13+IF($AN$7=1,1,IF($AN$7=2,0.5,"")),""),"")</f>
        <v>24</v>
      </c>
      <c r="V14" s="59">
        <f t="shared" ca="1" si="5"/>
        <v>2.2000000000000002</v>
      </c>
      <c r="W14" s="55"/>
      <c r="X14" s="58">
        <f>IFERROR(IF(AND($D$15&lt;&gt;"",MAX($X$6:X13)&lt;$D$15)=TRUE,X13+IF($AN$7=1,1,IF($AN$7=2,0.5,"")),""),"")</f>
        <v>29</v>
      </c>
      <c r="Y14" s="59">
        <f t="shared" ca="1" si="6"/>
        <v>2.5</v>
      </c>
      <c r="Z14" s="55"/>
      <c r="AA14" s="58">
        <f>IFERROR(IF(AND($D$15&lt;&gt;"",MAX($AA$6:AA13)&lt;$D$15)=TRUE,AA13+IF($AN$7=1,1,IF($AN$7=2,0.5,"")),""),"")</f>
        <v>34</v>
      </c>
      <c r="AB14" s="59">
        <f t="shared" ca="1" si="7"/>
        <v>2.7</v>
      </c>
      <c r="AC14" s="55"/>
      <c r="AD14" s="58">
        <f>IFERROR(IF(AND($D$15&lt;&gt;"",MAX($AD$6:AD13)&lt;$D$15)=TRUE,AD13+IF($AN$7=1,1,IF($AN$7=2,0.5,"")),""),"")</f>
        <v>39</v>
      </c>
      <c r="AE14" s="59">
        <f t="shared" ca="1" si="8"/>
        <v>3</v>
      </c>
      <c r="AF14" s="55"/>
      <c r="AG14" s="32"/>
      <c r="AK14" s="24">
        <f>IF(AND($D$15&lt;&gt;"",MAX($AK$9:AK13)&lt;$D$15)=TRUE,AK13+0.5,"")</f>
        <v>2.5</v>
      </c>
      <c r="AL14" s="25">
        <f t="shared" ca="1" si="9"/>
        <v>1.1000000000000001</v>
      </c>
      <c r="AN14" s="25">
        <f t="shared" ca="1" si="10"/>
        <v>1.1000000000000001</v>
      </c>
      <c r="AO14" s="25">
        <f t="shared" ca="1" si="11"/>
        <v>1.2</v>
      </c>
      <c r="AP14" s="25">
        <f t="shared" ca="1" si="12"/>
        <v>-1.6</v>
      </c>
      <c r="AR14" s="24">
        <v>-3.5</v>
      </c>
      <c r="AS14" s="25">
        <v>1.00102</v>
      </c>
      <c r="AU14" s="25">
        <f t="shared" ca="1" si="13"/>
        <v>1.3</v>
      </c>
      <c r="BT14" s="4">
        <v>14</v>
      </c>
      <c r="BU14" s="4">
        <v>6</v>
      </c>
      <c r="BV14" s="4">
        <f t="shared" si="0"/>
        <v>1.3</v>
      </c>
      <c r="BW14" s="4">
        <v>6</v>
      </c>
      <c r="BX14" s="4">
        <v>2</v>
      </c>
      <c r="BY14" s="4">
        <v>2.1</v>
      </c>
      <c r="BZ14" s="4">
        <v>2.1</v>
      </c>
      <c r="CA14" s="4">
        <v>2.2000000000000002</v>
      </c>
      <c r="CB14" s="4">
        <v>2.2000000000000002</v>
      </c>
      <c r="CC14" s="4">
        <v>2.2999999999999998</v>
      </c>
      <c r="CD14" s="4">
        <v>2.2999999999999998</v>
      </c>
      <c r="CE14" s="4">
        <v>2.4</v>
      </c>
      <c r="CF14" s="4">
        <v>2.4</v>
      </c>
      <c r="CG14" s="4">
        <v>2.5</v>
      </c>
      <c r="CH14" s="4">
        <v>2.6</v>
      </c>
      <c r="CI14" s="5">
        <v>2.7</v>
      </c>
      <c r="CJ14" s="4">
        <v>2.8</v>
      </c>
      <c r="CK14" s="4">
        <v>2.9</v>
      </c>
      <c r="CL14" s="4">
        <v>3</v>
      </c>
      <c r="CM14" s="4">
        <v>3.1</v>
      </c>
      <c r="CN14" s="4">
        <v>3.3</v>
      </c>
      <c r="CO14" s="4">
        <v>3.5</v>
      </c>
      <c r="CP14" s="4">
        <v>3.7</v>
      </c>
      <c r="CQ14" s="4">
        <v>4</v>
      </c>
      <c r="CR14" s="4">
        <v>4.5</v>
      </c>
      <c r="CS14" s="4">
        <v>5.0999999999999996</v>
      </c>
      <c r="CT14" s="4">
        <v>5.9</v>
      </c>
      <c r="CU14" s="4">
        <v>7</v>
      </c>
    </row>
    <row r="15" spans="1:101" x14ac:dyDescent="0.25">
      <c r="A15" s="41"/>
      <c r="B15" s="68" t="s">
        <v>15</v>
      </c>
      <c r="C15" s="68"/>
      <c r="D15" s="37">
        <v>100</v>
      </c>
      <c r="E15" s="28"/>
      <c r="F15" s="39"/>
      <c r="G15" s="31"/>
      <c r="H15" s="55"/>
      <c r="I15" s="58">
        <f>IFERROR(IF(AND($D$15&lt;&gt;"",MAX($I$6:I14)&lt;$D$15)=TRUE,I14+IF($AN$7=1,1,IF($AN$7=2,0.5,"")),""),"")</f>
        <v>4.5</v>
      </c>
      <c r="J15" s="59">
        <f t="shared" ca="1" si="1"/>
        <v>1.2</v>
      </c>
      <c r="K15" s="55"/>
      <c r="L15" s="58">
        <f>IFERROR(IF(AND($D$15&lt;&gt;"",MAX($L$6:L14)&lt;$D$15)=TRUE,L14+IF($AN$7=1,1,IF($AN$7=2,0.5,"")),""),"")</f>
        <v>9.5</v>
      </c>
      <c r="M15" s="59">
        <f t="shared" ca="1" si="2"/>
        <v>1.5</v>
      </c>
      <c r="N15" s="55"/>
      <c r="O15" s="58">
        <f>IFERROR(IF(AND($D$15&lt;&gt;"",MAX($O$6:O14)&lt;$D$15)=TRUE,O14+IF($AN$7=1,1,IF($AN$7=2,0.5,"")),""),"")</f>
        <v>14.5</v>
      </c>
      <c r="P15" s="59">
        <f t="shared" ca="1" si="3"/>
        <v>1.7</v>
      </c>
      <c r="Q15" s="55"/>
      <c r="R15" s="58">
        <f>IFERROR(IF(AND($D$15&lt;&gt;"",MAX($R$6:R14)&lt;$D$15)=TRUE,R14+IF($AN$7=1,1,IF($AN$7=2,0.5,"")),""),"")</f>
        <v>19.5</v>
      </c>
      <c r="S15" s="59">
        <f t="shared" ca="1" si="4"/>
        <v>2</v>
      </c>
      <c r="T15" s="55"/>
      <c r="U15" s="58">
        <f>IFERROR(IF(AND($D$15&lt;&gt;"",MAX($U$6:U14)&lt;$D$15)=TRUE,U14+IF($AN$7=1,1,IF($AN$7=2,0.5,"")),""),"")</f>
        <v>24.5</v>
      </c>
      <c r="V15" s="59">
        <f t="shared" ca="1" si="5"/>
        <v>2.2000000000000002</v>
      </c>
      <c r="W15" s="55"/>
      <c r="X15" s="58">
        <f>IFERROR(IF(AND($D$15&lt;&gt;"",MAX($X$6:X14)&lt;$D$15)=TRUE,X14+IF($AN$7=1,1,IF($AN$7=2,0.5,"")),""),"")</f>
        <v>29.5</v>
      </c>
      <c r="Y15" s="59">
        <f t="shared" ca="1" si="6"/>
        <v>2.5</v>
      </c>
      <c r="Z15" s="55"/>
      <c r="AA15" s="58">
        <f>IFERROR(IF(AND($D$15&lt;&gt;"",MAX($AA$6:AA14)&lt;$D$15)=TRUE,AA14+IF($AN$7=1,1,IF($AN$7=2,0.5,"")),""),"")</f>
        <v>34.5</v>
      </c>
      <c r="AB15" s="59">
        <f t="shared" ca="1" si="7"/>
        <v>2.7</v>
      </c>
      <c r="AC15" s="55"/>
      <c r="AD15" s="58">
        <f>IFERROR(IF(AND($D$15&lt;&gt;"",MAX($AD$6:AD14)&lt;$D$15)=TRUE,AD14+IF($AN$7=1,1,IF($AN$7=2,0.5,"")),""),"")</f>
        <v>39.5</v>
      </c>
      <c r="AE15" s="59">
        <f t="shared" ca="1" si="8"/>
        <v>3</v>
      </c>
      <c r="AF15" s="55"/>
      <c r="AG15" s="32"/>
      <c r="AK15" s="24">
        <f>IF(AND($D$15&lt;&gt;"",MAX($AK$9:AK14)&lt;$D$15)=TRUE,AK14+0.5,"")</f>
        <v>3</v>
      </c>
      <c r="AL15" s="25">
        <f t="shared" ca="1" si="9"/>
        <v>1.2</v>
      </c>
      <c r="AN15" s="25">
        <f t="shared" ca="1" si="10"/>
        <v>1.2</v>
      </c>
      <c r="AO15" s="25">
        <f t="shared" ca="1" si="11"/>
        <v>1.2</v>
      </c>
      <c r="AP15" s="25">
        <f t="shared" ca="1" si="12"/>
        <v>-1.6</v>
      </c>
      <c r="AR15" s="24">
        <v>-3.4</v>
      </c>
      <c r="AS15" s="25">
        <v>1.0014400000000001</v>
      </c>
      <c r="AU15" s="25">
        <f t="shared" ca="1" si="13"/>
        <v>1.3</v>
      </c>
      <c r="BT15" s="4">
        <v>15</v>
      </c>
      <c r="BU15" s="4">
        <v>6.5</v>
      </c>
      <c r="BV15" s="4">
        <f t="shared" si="0"/>
        <v>1.4</v>
      </c>
      <c r="BW15" s="4">
        <v>6.5</v>
      </c>
      <c r="BX15" s="4">
        <v>2.1</v>
      </c>
      <c r="BY15" s="4">
        <v>2.2000000000000002</v>
      </c>
      <c r="BZ15" s="4">
        <v>2.2000000000000002</v>
      </c>
      <c r="CA15" s="4">
        <v>2.2999999999999998</v>
      </c>
      <c r="CB15" s="4">
        <v>2.2999999999999998</v>
      </c>
      <c r="CC15" s="4">
        <v>2.4</v>
      </c>
      <c r="CD15" s="4">
        <v>2.4</v>
      </c>
      <c r="CE15" s="4">
        <v>2.5</v>
      </c>
      <c r="CF15" s="4">
        <v>2.5</v>
      </c>
      <c r="CG15" s="4">
        <v>2.6</v>
      </c>
      <c r="CH15" s="4">
        <v>2.7</v>
      </c>
      <c r="CI15" s="5">
        <v>2.8</v>
      </c>
      <c r="CJ15" s="4">
        <v>2.9</v>
      </c>
      <c r="CK15" s="4">
        <v>3</v>
      </c>
      <c r="CL15" s="4">
        <v>3.2</v>
      </c>
      <c r="CM15" s="4">
        <v>3.3</v>
      </c>
      <c r="CN15" s="4">
        <v>3.5</v>
      </c>
      <c r="CO15" s="4">
        <v>3.7</v>
      </c>
      <c r="CP15" s="4">
        <v>4</v>
      </c>
      <c r="CQ15" s="4">
        <v>4.4000000000000004</v>
      </c>
      <c r="CR15" s="4">
        <v>4.9000000000000004</v>
      </c>
      <c r="CS15" s="4">
        <v>5.6</v>
      </c>
      <c r="CT15" s="4">
        <v>6.5</v>
      </c>
    </row>
    <row r="16" spans="1:101" x14ac:dyDescent="0.25">
      <c r="A16" s="41"/>
      <c r="B16" s="29"/>
      <c r="C16" s="29"/>
      <c r="D16" s="28"/>
      <c r="E16" s="28"/>
      <c r="F16" s="39"/>
      <c r="G16" s="31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32"/>
      <c r="AK16" s="24">
        <f>IF(AND($D$15&lt;&gt;"",MAX($AK$9:AK15)&lt;$D$15)=TRUE,AK15+0.5,"")</f>
        <v>3.5</v>
      </c>
      <c r="AL16" s="25">
        <f t="shared" ca="1" si="9"/>
        <v>1.2</v>
      </c>
      <c r="AN16" s="25">
        <f t="shared" ca="1" si="10"/>
        <v>1.2</v>
      </c>
      <c r="AO16" s="25">
        <f t="shared" ca="1" si="11"/>
        <v>1.2</v>
      </c>
      <c r="AP16" s="25">
        <f t="shared" ca="1" si="12"/>
        <v>-1.6</v>
      </c>
      <c r="AR16" s="24">
        <v>-3.3</v>
      </c>
      <c r="AS16" s="25">
        <v>1.0021</v>
      </c>
      <c r="AU16" s="25">
        <f t="shared" ca="1" si="13"/>
        <v>1.3</v>
      </c>
      <c r="BT16" s="4">
        <v>16</v>
      </c>
      <c r="BU16" s="4">
        <v>7</v>
      </c>
      <c r="BV16" s="4">
        <f t="shared" si="0"/>
        <v>1.4</v>
      </c>
      <c r="BW16" s="4">
        <v>7</v>
      </c>
      <c r="BX16" s="4">
        <v>2.2000000000000002</v>
      </c>
      <c r="BY16" s="4">
        <v>2.2999999999999998</v>
      </c>
      <c r="BZ16" s="4">
        <v>2.2999999999999998</v>
      </c>
      <c r="CA16" s="4">
        <v>2.2999999999999998</v>
      </c>
      <c r="CB16" s="4">
        <v>2.4</v>
      </c>
      <c r="CC16" s="4">
        <v>2.5</v>
      </c>
      <c r="CD16" s="4">
        <v>2.5</v>
      </c>
      <c r="CE16" s="4">
        <v>2.6</v>
      </c>
      <c r="CF16" s="4">
        <v>2.7</v>
      </c>
      <c r="CG16" s="4">
        <v>2.8</v>
      </c>
      <c r="CH16" s="4">
        <v>2.8</v>
      </c>
      <c r="CI16" s="5">
        <v>2.9</v>
      </c>
      <c r="CJ16" s="4">
        <v>3.1</v>
      </c>
      <c r="CK16" s="4">
        <v>3.2</v>
      </c>
      <c r="CL16" s="4">
        <v>3.3</v>
      </c>
      <c r="CM16" s="4">
        <v>3.5</v>
      </c>
      <c r="CN16" s="4">
        <v>3.7</v>
      </c>
      <c r="CO16" s="4">
        <v>3.9</v>
      </c>
      <c r="CP16" s="4">
        <v>4.3</v>
      </c>
      <c r="CQ16" s="4">
        <v>4.8</v>
      </c>
      <c r="CR16" s="4">
        <v>5.3</v>
      </c>
      <c r="CS16" s="4">
        <v>6.1</v>
      </c>
      <c r="CT16" s="4">
        <v>7</v>
      </c>
    </row>
    <row r="17" spans="1:97" x14ac:dyDescent="0.25">
      <c r="A17" s="41"/>
      <c r="B17" s="68" t="s">
        <v>22</v>
      </c>
      <c r="C17" s="68"/>
      <c r="D17" s="63" t="s">
        <v>20</v>
      </c>
      <c r="E17" s="28"/>
      <c r="F17" s="39"/>
      <c r="G17" s="31"/>
      <c r="H17" s="55"/>
      <c r="I17" s="57" t="s">
        <v>10</v>
      </c>
      <c r="J17" s="57" t="s">
        <v>11</v>
      </c>
      <c r="K17" s="55"/>
      <c r="L17" s="57" t="s">
        <v>10</v>
      </c>
      <c r="M17" s="57" t="s">
        <v>11</v>
      </c>
      <c r="N17" s="55"/>
      <c r="O17" s="57" t="s">
        <v>10</v>
      </c>
      <c r="P17" s="57" t="s">
        <v>11</v>
      </c>
      <c r="Q17" s="55"/>
      <c r="R17" s="57" t="s">
        <v>10</v>
      </c>
      <c r="S17" s="57" t="s">
        <v>11</v>
      </c>
      <c r="T17" s="55"/>
      <c r="U17" s="57" t="s">
        <v>10</v>
      </c>
      <c r="V17" s="57" t="s">
        <v>11</v>
      </c>
      <c r="W17" s="55"/>
      <c r="X17" s="57" t="s">
        <v>10</v>
      </c>
      <c r="Y17" s="57" t="s">
        <v>11</v>
      </c>
      <c r="Z17" s="55"/>
      <c r="AA17" s="57" t="s">
        <v>10</v>
      </c>
      <c r="AB17" s="57" t="s">
        <v>11</v>
      </c>
      <c r="AC17" s="55"/>
      <c r="AD17" s="57" t="s">
        <v>10</v>
      </c>
      <c r="AE17" s="57" t="s">
        <v>11</v>
      </c>
      <c r="AF17" s="55"/>
      <c r="AG17" s="32"/>
      <c r="AK17" s="24">
        <f>IF(AND($D$15&lt;&gt;"",MAX($AK$9:AK16)&lt;$D$15)=TRUE,AK16+0.5,"")</f>
        <v>4</v>
      </c>
      <c r="AL17" s="25">
        <f t="shared" ca="1" si="9"/>
        <v>1.2</v>
      </c>
      <c r="AN17" s="25">
        <f t="shared" ca="1" si="10"/>
        <v>1.2</v>
      </c>
      <c r="AO17" s="25">
        <f t="shared" ca="1" si="11"/>
        <v>1.2</v>
      </c>
      <c r="AP17" s="25">
        <f t="shared" ca="1" si="12"/>
        <v>-1.6</v>
      </c>
      <c r="AR17" s="24">
        <v>-3.2</v>
      </c>
      <c r="AS17" s="25">
        <v>1.0029999999999999</v>
      </c>
      <c r="AU17" s="25">
        <f t="shared" ca="1" si="13"/>
        <v>1.3</v>
      </c>
      <c r="BT17" s="4">
        <v>17</v>
      </c>
      <c r="BU17" s="4">
        <v>7.5</v>
      </c>
      <c r="BV17" s="4">
        <f t="shared" si="0"/>
        <v>1.4</v>
      </c>
      <c r="BW17" s="4">
        <v>7.5</v>
      </c>
      <c r="BX17" s="4">
        <v>2.2999999999999998</v>
      </c>
      <c r="BY17" s="4">
        <v>2.2999999999999998</v>
      </c>
      <c r="BZ17" s="4">
        <v>2.4</v>
      </c>
      <c r="CA17" s="4">
        <v>2.4</v>
      </c>
      <c r="CB17" s="4">
        <v>2.5</v>
      </c>
      <c r="CC17" s="4">
        <v>2.6</v>
      </c>
      <c r="CD17" s="4">
        <v>2.6</v>
      </c>
      <c r="CE17" s="4">
        <v>2.7</v>
      </c>
      <c r="CF17" s="4">
        <v>2.8</v>
      </c>
      <c r="CG17" s="4">
        <v>2.9</v>
      </c>
      <c r="CH17" s="4">
        <v>3</v>
      </c>
      <c r="CI17" s="5">
        <v>3.1</v>
      </c>
      <c r="CJ17" s="4">
        <v>3.2</v>
      </c>
      <c r="CK17" s="4">
        <v>3.3</v>
      </c>
      <c r="CL17" s="4">
        <v>3.5</v>
      </c>
      <c r="CM17" s="4">
        <v>3.7</v>
      </c>
      <c r="CN17" s="4">
        <v>3.9</v>
      </c>
      <c r="CO17" s="4">
        <v>4.2</v>
      </c>
      <c r="CP17" s="4">
        <v>4.5999999999999996</v>
      </c>
      <c r="CQ17" s="4">
        <v>5.0999999999999996</v>
      </c>
      <c r="CR17" s="4">
        <v>5.8</v>
      </c>
      <c r="CS17" s="4">
        <v>6.5</v>
      </c>
    </row>
    <row r="18" spans="1:97" x14ac:dyDescent="0.25">
      <c r="A18" s="41"/>
      <c r="B18" s="28"/>
      <c r="C18" s="28"/>
      <c r="D18" s="28"/>
      <c r="E18" s="28"/>
      <c r="F18" s="39"/>
      <c r="G18" s="31"/>
      <c r="H18" s="55"/>
      <c r="I18" s="58">
        <f>IFERROR(IF(AND($D$15&lt;&gt;"",MAX($AD$15:AD15)&lt;$D$15)=TRUE,AD15+IF($AN$7=1,1,IF($AN$7=2,0.5,"")),""),"")</f>
        <v>40</v>
      </c>
      <c r="J18" s="59">
        <f t="shared" ref="J18:J27" ca="1" si="14">IF(I18&gt;$D$15,"",VLOOKUP(I18,$AK$9:$AL$209,2,FALSE))</f>
        <v>3</v>
      </c>
      <c r="K18" s="55"/>
      <c r="L18" s="58">
        <f>IFERROR(IF(AND($D$15&lt;&gt;"",MAX($I$27:I27)&lt;$D$15)=TRUE,I27+IF($AN$7=1,1,IF($AN$7=2,0.5,"")),""),"")</f>
        <v>45</v>
      </c>
      <c r="M18" s="59">
        <f t="shared" ref="M18:M27" ca="1" si="15">IF(L18&gt;$D$15,"",VLOOKUP(L18,$AK$9:$AL$209,2,FALSE))</f>
        <v>3.3</v>
      </c>
      <c r="N18" s="55"/>
      <c r="O18" s="58">
        <f>IFERROR(IF(AND($D$15&lt;&gt;"",MAX($L$27:L27)&lt;$D$15)=TRUE,L27+IF($AN$7=1,1,IF($AN$7=2,0.5,"")),""),"")</f>
        <v>50</v>
      </c>
      <c r="P18" s="59">
        <f ca="1">IF(O18&gt;$D$15,"",VLOOKUP(O18,$AK$9:$AL$209,2,FALSE))</f>
        <v>3.5</v>
      </c>
      <c r="Q18" s="55"/>
      <c r="R18" s="58">
        <f>IFERROR(IF(AND($D$15&lt;&gt;"",MAX($O$27:O27)&lt;$D$15)=TRUE,O27+IF($AN$7=1,1,IF($AN$7=2,0.5,"")),""),"")</f>
        <v>55</v>
      </c>
      <c r="S18" s="59">
        <f t="shared" ref="S18:S27" ca="1" si="16">IF(R18&gt;$D$15,"",VLOOKUP(R18,$AK$9:$AL$609,2,FALSE))</f>
        <v>3.8</v>
      </c>
      <c r="T18" s="55"/>
      <c r="U18" s="58">
        <f>IFERROR(IF(AND($D$15&lt;&gt;"",MAX($R$27:R27)&lt;$D$15)=TRUE,R27+IF($AN$7=1,1,IF($AN$7=2,0.5,"")),""),"")</f>
        <v>60</v>
      </c>
      <c r="V18" s="59">
        <f t="shared" ref="V18:V27" ca="1" si="17">IF(U18&gt;$D$15,"",VLOOKUP(U18,$AK$9:$AL$609,2,FALSE))</f>
        <v>4</v>
      </c>
      <c r="W18" s="55"/>
      <c r="X18" s="58">
        <f>IFERROR(IF(AND($D$15&lt;&gt;"",MAX($U$27:U27)&lt;$D$15)=TRUE,U27+IF($AN$7=1,1,IF($AN$7=2,0.5,"")),""),"")</f>
        <v>65</v>
      </c>
      <c r="Y18" s="59">
        <f t="shared" ref="Y18:Y27" ca="1" si="18">IF(X18&gt;$D$15,"",VLOOKUP(X18,$AK$9:$AL$609,2,FALSE))</f>
        <v>4.4000000000000004</v>
      </c>
      <c r="Z18" s="55"/>
      <c r="AA18" s="58">
        <f>IFERROR(IF(AND($D$15&lt;&gt;"",MAX($X$27:X27)&lt;$D$15)=TRUE,X27+IF($AN$7=1,1,IF($AN$7=2,0.5,"")),""),"")</f>
        <v>70</v>
      </c>
      <c r="AB18" s="59">
        <f t="shared" ref="AB18:AB27" ca="1" si="19">IF(AA18&gt;$D$15,"",VLOOKUP(AA18,$AK$9:$AL$609,2,FALSE))</f>
        <v>4.8</v>
      </c>
      <c r="AC18" s="55"/>
      <c r="AD18" s="58">
        <f>IFERROR(IF(AND($D$15&lt;&gt;"",MAX($AA$27:AA27)&lt;$D$15)=TRUE,AA27+IF($AN$7=1,1,IF($AN$7=2,0.5,"")),""),"")</f>
        <v>75</v>
      </c>
      <c r="AE18" s="59">
        <f t="shared" ref="AE18:AE27" ca="1" si="20">IF(AD18&gt;$D$15,"",VLOOKUP(AD18,$AK$9:$AL$609,2,FALSE))</f>
        <v>5.0999999999999996</v>
      </c>
      <c r="AF18" s="55"/>
      <c r="AG18" s="32"/>
      <c r="AK18" s="24">
        <f>IF(AND($D$15&lt;&gt;"",MAX($AK$9:AK17)&lt;$D$15)=TRUE,AK17+0.5,"")</f>
        <v>4.5</v>
      </c>
      <c r="AL18" s="25">
        <f t="shared" ca="1" si="9"/>
        <v>1.2</v>
      </c>
      <c r="AN18" s="25">
        <f t="shared" ca="1" si="10"/>
        <v>1.2</v>
      </c>
      <c r="AO18" s="25">
        <f t="shared" ca="1" si="11"/>
        <v>1.3</v>
      </c>
      <c r="AP18" s="25">
        <f t="shared" ca="1" si="12"/>
        <v>-1.5</v>
      </c>
      <c r="AR18" s="24">
        <v>-3.1</v>
      </c>
      <c r="AS18" s="25">
        <v>1.0042599999999999</v>
      </c>
      <c r="AU18" s="25">
        <f t="shared" ca="1" si="13"/>
        <v>1.3</v>
      </c>
      <c r="BT18" s="4">
        <v>18</v>
      </c>
      <c r="BU18" s="4">
        <v>8</v>
      </c>
      <c r="BV18" s="4">
        <f t="shared" si="0"/>
        <v>1.4</v>
      </c>
      <c r="BW18" s="4">
        <v>8</v>
      </c>
      <c r="BX18" s="4">
        <v>2.4</v>
      </c>
      <c r="BY18" s="4">
        <v>2.4</v>
      </c>
      <c r="BZ18" s="4">
        <v>2.5</v>
      </c>
      <c r="CA18" s="4">
        <v>2.5</v>
      </c>
      <c r="CB18" s="4">
        <v>2.6</v>
      </c>
      <c r="CC18" s="4">
        <v>2.7</v>
      </c>
      <c r="CD18" s="4">
        <v>2.7</v>
      </c>
      <c r="CE18" s="4">
        <v>2.8</v>
      </c>
      <c r="CF18" s="4">
        <v>2.9</v>
      </c>
      <c r="CG18" s="4">
        <v>3</v>
      </c>
      <c r="CH18" s="4">
        <v>3.1</v>
      </c>
      <c r="CI18" s="5">
        <v>3.2</v>
      </c>
      <c r="CJ18" s="4">
        <v>3.4</v>
      </c>
      <c r="CK18" s="4">
        <v>3.5</v>
      </c>
      <c r="CL18" s="4">
        <v>3.7</v>
      </c>
      <c r="CM18" s="4">
        <v>3.9</v>
      </c>
      <c r="CN18" s="4">
        <v>4.0999999999999996</v>
      </c>
      <c r="CO18" s="4">
        <v>4.5</v>
      </c>
      <c r="CP18" s="4">
        <v>5</v>
      </c>
      <c r="CQ18" s="4">
        <v>5.5</v>
      </c>
      <c r="CR18" s="4">
        <v>6.2</v>
      </c>
      <c r="CS18" s="4">
        <v>7</v>
      </c>
    </row>
    <row r="19" spans="1:97" x14ac:dyDescent="0.25">
      <c r="A19" s="41"/>
      <c r="B19" s="28"/>
      <c r="C19" s="28"/>
      <c r="D19" s="30" t="s">
        <v>25</v>
      </c>
      <c r="E19" s="28"/>
      <c r="F19" s="39"/>
      <c r="G19" s="31"/>
      <c r="H19" s="55"/>
      <c r="I19" s="58">
        <f>IFERROR(IF(AND($D$15&lt;&gt;"",MAX($I$18:I18)&lt;$D$15)=TRUE,I18+IF($AN$7=1,1,IF($AN$7=2,0.5,"")),""),"")</f>
        <v>40.5</v>
      </c>
      <c r="J19" s="59">
        <f t="shared" ca="1" si="14"/>
        <v>3</v>
      </c>
      <c r="K19" s="55"/>
      <c r="L19" s="58">
        <f>IFERROR(IF(AND($D$15&lt;&gt;"",MAX($L$18:L18)&lt;$D$15)=TRUE,L18+IF($AN$7=1,1,IF($AN$7=2,0.5,"")),""),"")</f>
        <v>45.5</v>
      </c>
      <c r="M19" s="59">
        <f t="shared" ca="1" si="15"/>
        <v>3.3</v>
      </c>
      <c r="N19" s="55"/>
      <c r="O19" s="58">
        <f>IFERROR(IF(AND($D$15&lt;&gt;"",MAX($O$18:O18)&lt;$D$15)=TRUE,O18+IF($AN$7=1,1,IF($AN$7=2,0.5,"")),""),"")</f>
        <v>50.5</v>
      </c>
      <c r="P19" s="59">
        <f t="shared" ref="P19:P27" ca="1" si="21">IF(O19&gt;$D$15,"",VLOOKUP(O19,$AK$9:$AL$609,2,FALSE))</f>
        <v>3.5</v>
      </c>
      <c r="Q19" s="55"/>
      <c r="R19" s="58">
        <f>IFERROR(IF(AND($D$15&lt;&gt;"",MAX($R$18:R18)&lt;$D$15)=TRUE,R18+IF($AN$7=1,1,IF($AN$7=2,0.5,"")),""),"")</f>
        <v>55.5</v>
      </c>
      <c r="S19" s="59">
        <f t="shared" ca="1" si="16"/>
        <v>3.8</v>
      </c>
      <c r="T19" s="55"/>
      <c r="U19" s="58">
        <f>IFERROR(IF(AND($D$15&lt;&gt;"",MAX($U$18:U18)&lt;$D$15)=TRUE,U18+IF($AN$7=1,1,IF($AN$7=2,0.5,"")),""),"")</f>
        <v>60.5</v>
      </c>
      <c r="V19" s="59">
        <f t="shared" ca="1" si="17"/>
        <v>4</v>
      </c>
      <c r="W19" s="55"/>
      <c r="X19" s="58">
        <f>IFERROR(IF(AND($D$15&lt;&gt;"",MAX($X$18:X18)&lt;$D$15)=TRUE,X18+IF($AN$7=1,1,IF($AN$7=2,0.5,"")),""),"")</f>
        <v>65.5</v>
      </c>
      <c r="Y19" s="59">
        <f t="shared" ca="1" si="18"/>
        <v>4.4000000000000004</v>
      </c>
      <c r="Z19" s="55"/>
      <c r="AA19" s="58">
        <f>IFERROR(IF(AND($D$15&lt;&gt;"",MAX($AA$18:AA18)&lt;$D$15)=TRUE,AA18+IF($AN$7=1,1,IF($AN$7=2,0.5,"")),""),"")</f>
        <v>70.5</v>
      </c>
      <c r="AB19" s="59">
        <f t="shared" ca="1" si="19"/>
        <v>4.8</v>
      </c>
      <c r="AC19" s="55"/>
      <c r="AD19" s="58">
        <f>IFERROR(IF(AND($D$15&lt;&gt;"",MAX($AD$18:AD18)&lt;$D$15)=TRUE,AD18+IF($AN$7=1,1,IF($AN$7=2,0.5,"")),""),"")</f>
        <v>75.5</v>
      </c>
      <c r="AE19" s="59">
        <f t="shared" ca="1" si="20"/>
        <v>5.2</v>
      </c>
      <c r="AF19" s="55"/>
      <c r="AG19" s="32"/>
      <c r="AK19" s="24">
        <f>IF(AND($D$15&lt;&gt;"",MAX($AK$9:AK18)&lt;$D$15)=TRUE,AK18+0.5,"")</f>
        <v>5</v>
      </c>
      <c r="AL19" s="25">
        <f t="shared" ca="1" si="9"/>
        <v>1.3</v>
      </c>
      <c r="AN19" s="25">
        <f t="shared" ca="1" si="10"/>
        <v>1.3</v>
      </c>
      <c r="AO19" s="25">
        <f t="shared" ca="1" si="11"/>
        <v>1.3</v>
      </c>
      <c r="AP19" s="25">
        <f t="shared" ca="1" si="12"/>
        <v>-1.5</v>
      </c>
      <c r="AR19" s="24">
        <v>-3</v>
      </c>
      <c r="AS19" s="25">
        <v>1.006</v>
      </c>
      <c r="AU19" s="25">
        <f t="shared" ca="1" si="13"/>
        <v>1.3</v>
      </c>
      <c r="BT19" s="4">
        <v>19</v>
      </c>
      <c r="BU19" s="4">
        <v>8.5</v>
      </c>
      <c r="BV19" s="4">
        <f t="shared" si="0"/>
        <v>1.5</v>
      </c>
      <c r="BW19" s="4">
        <v>8.5</v>
      </c>
      <c r="BX19" s="4">
        <v>2.5</v>
      </c>
      <c r="BY19" s="4">
        <v>2.5</v>
      </c>
      <c r="BZ19" s="4">
        <v>2.6</v>
      </c>
      <c r="CA19" s="4">
        <v>2.6</v>
      </c>
      <c r="CB19" s="4">
        <v>2.7</v>
      </c>
      <c r="CC19" s="4">
        <v>2.8</v>
      </c>
      <c r="CD19" s="4">
        <v>2.8</v>
      </c>
      <c r="CE19" s="4">
        <v>2.9</v>
      </c>
      <c r="CF19" s="4">
        <v>3</v>
      </c>
      <c r="CG19" s="4">
        <v>3.1</v>
      </c>
      <c r="CH19" s="4">
        <v>3.2</v>
      </c>
      <c r="CI19" s="5">
        <v>3.4</v>
      </c>
      <c r="CJ19" s="4">
        <v>3.5</v>
      </c>
      <c r="CK19" s="4">
        <v>3.7</v>
      </c>
      <c r="CL19" s="4">
        <v>3.8</v>
      </c>
      <c r="CM19" s="4">
        <v>4.0999999999999996</v>
      </c>
      <c r="CN19" s="4">
        <v>4.4000000000000004</v>
      </c>
      <c r="CO19" s="4">
        <v>4.8</v>
      </c>
      <c r="CP19" s="4">
        <v>5.3</v>
      </c>
      <c r="CQ19" s="4">
        <v>5.9</v>
      </c>
      <c r="CR19" s="4">
        <v>6.6</v>
      </c>
    </row>
    <row r="20" spans="1:97" x14ac:dyDescent="0.25">
      <c r="A20" s="41"/>
      <c r="B20" s="28"/>
      <c r="C20" s="28"/>
      <c r="D20" s="30" t="s">
        <v>26</v>
      </c>
      <c r="E20" s="28"/>
      <c r="F20" s="39"/>
      <c r="G20" s="31"/>
      <c r="H20" s="55"/>
      <c r="I20" s="58">
        <f>IFERROR(IF(AND($D$15&lt;&gt;"",MAX($I$18:I19)&lt;$D$15)=TRUE,I19+IF($AN$7=1,1,IF($AN$7=2,0.5,"")),""),"")</f>
        <v>41</v>
      </c>
      <c r="J20" s="59">
        <f t="shared" ca="1" si="14"/>
        <v>3.1</v>
      </c>
      <c r="K20" s="55"/>
      <c r="L20" s="58">
        <f>IFERROR(IF(AND($D$15&lt;&gt;"",MAX($L$18:L19)&lt;$D$15)=TRUE,L19+IF($AN$7=1,1,IF($AN$7=2,0.5,"")),""),"")</f>
        <v>46</v>
      </c>
      <c r="M20" s="59">
        <f t="shared" ca="1" si="15"/>
        <v>3.3</v>
      </c>
      <c r="N20" s="55"/>
      <c r="O20" s="58">
        <f>IFERROR(IF(AND($D$15&lt;&gt;"",MAX($O$18:O19)&lt;$D$15)=TRUE,O19+IF($AN$7=1,1,IF($AN$7=2,0.5,"")),""),"")</f>
        <v>51</v>
      </c>
      <c r="P20" s="59">
        <f t="shared" ca="1" si="21"/>
        <v>3.6</v>
      </c>
      <c r="Q20" s="55"/>
      <c r="R20" s="58">
        <f>IFERROR(IF(AND($D$15&lt;&gt;"",MAX($R$18:R19)&lt;$D$15)=TRUE,R19+IF($AN$7=1,1,IF($AN$7=2,0.5,"")),""),"")</f>
        <v>56</v>
      </c>
      <c r="S20" s="59">
        <f t="shared" ca="1" si="16"/>
        <v>3.8</v>
      </c>
      <c r="T20" s="55"/>
      <c r="U20" s="58">
        <f>IFERROR(IF(AND($D$15&lt;&gt;"",MAX($U$18:U19)&lt;$D$15)=TRUE,U19+IF($AN$7=1,1,IF($AN$7=2,0.5,"")),""),"")</f>
        <v>61</v>
      </c>
      <c r="V20" s="59">
        <f t="shared" ca="1" si="17"/>
        <v>4.0999999999999996</v>
      </c>
      <c r="W20" s="55"/>
      <c r="X20" s="58">
        <f>IFERROR(IF(AND($D$15&lt;&gt;"",MAX($X$18:X19)&lt;$D$15)=TRUE,X19+IF($AN$7=1,1,IF($AN$7=2,0.5,"")),""),"")</f>
        <v>66</v>
      </c>
      <c r="Y20" s="59">
        <f t="shared" ca="1" si="18"/>
        <v>4.5</v>
      </c>
      <c r="Z20" s="55"/>
      <c r="AA20" s="58">
        <f>IFERROR(IF(AND($D$15&lt;&gt;"",MAX($AA$18:AA19)&lt;$D$15)=TRUE,AA19+IF($AN$7=1,1,IF($AN$7=2,0.5,"")),""),"")</f>
        <v>71</v>
      </c>
      <c r="AB20" s="59">
        <f t="shared" ca="1" si="19"/>
        <v>4.8</v>
      </c>
      <c r="AC20" s="55"/>
      <c r="AD20" s="58">
        <f>IFERROR(IF(AND($D$15&lt;&gt;"",MAX($AD$18:AD19)&lt;$D$15)=TRUE,AD19+IF($AN$7=1,1,IF($AN$7=2,0.5,"")),""),"")</f>
        <v>76</v>
      </c>
      <c r="AE20" s="59">
        <f t="shared" ca="1" si="20"/>
        <v>5.2</v>
      </c>
      <c r="AF20" s="55"/>
      <c r="AG20" s="32"/>
      <c r="AK20" s="24">
        <f>IF(AND($D$15&lt;&gt;"",MAX($AK$9:AK19)&lt;$D$15)=TRUE,AK19+0.5,"")</f>
        <v>5.5</v>
      </c>
      <c r="AL20" s="25">
        <f t="shared" ca="1" si="9"/>
        <v>1.3</v>
      </c>
      <c r="AN20" s="25">
        <f t="shared" ca="1" si="10"/>
        <v>1.3</v>
      </c>
      <c r="AO20" s="25">
        <f t="shared" ca="1" si="11"/>
        <v>1.3</v>
      </c>
      <c r="AP20" s="25">
        <f t="shared" ca="1" si="12"/>
        <v>-1.5</v>
      </c>
      <c r="AR20" s="24">
        <v>-2.9</v>
      </c>
      <c r="AS20" s="25">
        <v>1.00834</v>
      </c>
      <c r="AU20" s="25">
        <f t="shared" ca="1" si="13"/>
        <v>1.3</v>
      </c>
      <c r="BT20" s="4">
        <v>20</v>
      </c>
      <c r="BU20" s="4">
        <v>9</v>
      </c>
      <c r="BV20" s="4">
        <f t="shared" si="0"/>
        <v>1.5</v>
      </c>
      <c r="BW20" s="4">
        <v>9</v>
      </c>
      <c r="BX20" s="4">
        <v>2.6</v>
      </c>
      <c r="BY20" s="4">
        <v>2.6</v>
      </c>
      <c r="BZ20" s="4">
        <v>2.7</v>
      </c>
      <c r="CA20" s="4">
        <v>2.7</v>
      </c>
      <c r="CB20" s="4">
        <v>2.8</v>
      </c>
      <c r="CC20" s="4">
        <v>2.9</v>
      </c>
      <c r="CD20" s="4">
        <v>3</v>
      </c>
      <c r="CE20" s="4">
        <v>3</v>
      </c>
      <c r="CF20" s="4">
        <v>3.1</v>
      </c>
      <c r="CG20" s="4">
        <v>3.3</v>
      </c>
      <c r="CH20" s="4">
        <v>3.4</v>
      </c>
      <c r="CI20" s="5">
        <v>3.5</v>
      </c>
      <c r="CJ20" s="4">
        <v>3.6</v>
      </c>
      <c r="CK20" s="4">
        <v>3.8</v>
      </c>
      <c r="CL20" s="4">
        <v>4</v>
      </c>
      <c r="CM20" s="4">
        <v>4.3</v>
      </c>
      <c r="CN20" s="4">
        <v>4.7</v>
      </c>
      <c r="CO20" s="4">
        <v>5.0999999999999996</v>
      </c>
      <c r="CP20" s="4">
        <v>5.6</v>
      </c>
      <c r="CQ20" s="4">
        <v>6.3</v>
      </c>
      <c r="CR20" s="4">
        <v>7</v>
      </c>
    </row>
    <row r="21" spans="1:97" x14ac:dyDescent="0.25">
      <c r="A21" s="42"/>
      <c r="B21" s="43"/>
      <c r="C21" s="43"/>
      <c r="D21" s="43"/>
      <c r="E21" s="43"/>
      <c r="F21" s="44"/>
      <c r="G21" s="31"/>
      <c r="H21" s="55"/>
      <c r="I21" s="58">
        <f>IFERROR(IF(AND($D$15&lt;&gt;"",MAX($I$18:I20)&lt;$D$15)=TRUE,I20+IF($AN$7=1,1,IF($AN$7=2,0.5,"")),""),"")</f>
        <v>41.5</v>
      </c>
      <c r="J21" s="59">
        <f t="shared" ca="1" si="14"/>
        <v>3.1</v>
      </c>
      <c r="K21" s="55"/>
      <c r="L21" s="58">
        <f>IFERROR(IF(AND($D$15&lt;&gt;"",MAX($L$18:L20)&lt;$D$15)=TRUE,L20+IF($AN$7=1,1,IF($AN$7=2,0.5,"")),""),"")</f>
        <v>46.5</v>
      </c>
      <c r="M21" s="59">
        <f t="shared" ca="1" si="15"/>
        <v>3.3</v>
      </c>
      <c r="N21" s="55"/>
      <c r="O21" s="58">
        <f>IFERROR(IF(AND($D$15&lt;&gt;"",MAX($O$18:O20)&lt;$D$15)=TRUE,O20+IF($AN$7=1,1,IF($AN$7=2,0.5,"")),""),"")</f>
        <v>51.5</v>
      </c>
      <c r="P21" s="59">
        <f t="shared" ca="1" si="21"/>
        <v>3.6</v>
      </c>
      <c r="Q21" s="55"/>
      <c r="R21" s="58">
        <f>IFERROR(IF(AND($D$15&lt;&gt;"",MAX($R$18:R20)&lt;$D$15)=TRUE,R20+IF($AN$7=1,1,IF($AN$7=2,0.5,"")),""),"")</f>
        <v>56.5</v>
      </c>
      <c r="S21" s="59">
        <f t="shared" ca="1" si="16"/>
        <v>3.8</v>
      </c>
      <c r="T21" s="55"/>
      <c r="U21" s="58">
        <f>IFERROR(IF(AND($D$15&lt;&gt;"",MAX($U$18:U20)&lt;$D$15)=TRUE,U20+IF($AN$7=1,1,IF($AN$7=2,0.5,"")),""),"")</f>
        <v>61.5</v>
      </c>
      <c r="V21" s="59">
        <f t="shared" ca="1" si="17"/>
        <v>4.0999999999999996</v>
      </c>
      <c r="W21" s="55"/>
      <c r="X21" s="58">
        <f>IFERROR(IF(AND($D$15&lt;&gt;"",MAX($X$18:X20)&lt;$D$15)=TRUE,X20+IF($AN$7=1,1,IF($AN$7=2,0.5,"")),""),"")</f>
        <v>66.5</v>
      </c>
      <c r="Y21" s="59">
        <f t="shared" ca="1" si="18"/>
        <v>4.5</v>
      </c>
      <c r="Z21" s="55"/>
      <c r="AA21" s="58">
        <f>IFERROR(IF(AND($D$15&lt;&gt;"",MAX($AA$18:AA20)&lt;$D$15)=TRUE,AA20+IF($AN$7=1,1,IF($AN$7=2,0.5,"")),""),"")</f>
        <v>71.5</v>
      </c>
      <c r="AB21" s="59">
        <f t="shared" ca="1" si="19"/>
        <v>4.9000000000000004</v>
      </c>
      <c r="AC21" s="55"/>
      <c r="AD21" s="58">
        <f>IFERROR(IF(AND($D$15&lt;&gt;"",MAX($AD$18:AD20)&lt;$D$15)=TRUE,AD20+IF($AN$7=1,1,IF($AN$7=2,0.5,"")),""),"")</f>
        <v>76.5</v>
      </c>
      <c r="AE21" s="59">
        <f t="shared" ca="1" si="20"/>
        <v>5.2</v>
      </c>
      <c r="AF21" s="55"/>
      <c r="AG21" s="32"/>
      <c r="AK21" s="24">
        <f>IF(AND($D$15&lt;&gt;"",MAX($AK$9:AK20)&lt;$D$15)=TRUE,AK20+0.5,"")</f>
        <v>6</v>
      </c>
      <c r="AL21" s="25">
        <f t="shared" ca="1" si="9"/>
        <v>1.3</v>
      </c>
      <c r="AN21" s="25">
        <f t="shared" ca="1" si="10"/>
        <v>1.3</v>
      </c>
      <c r="AO21" s="25">
        <f t="shared" ca="1" si="11"/>
        <v>1.4</v>
      </c>
      <c r="AP21" s="25">
        <f t="shared" ca="1" si="12"/>
        <v>-1.5</v>
      </c>
      <c r="AR21" s="24">
        <v>-2.8</v>
      </c>
      <c r="AS21" s="25">
        <v>1.0115799999999999</v>
      </c>
      <c r="AU21" s="25">
        <f t="shared" ca="1" si="13"/>
        <v>1.3</v>
      </c>
      <c r="BT21" s="4">
        <v>21</v>
      </c>
      <c r="BU21" s="4">
        <v>9.5</v>
      </c>
      <c r="BV21" s="4">
        <f t="shared" si="0"/>
        <v>1.5</v>
      </c>
      <c r="BW21" s="4">
        <v>9.5</v>
      </c>
      <c r="BX21" s="4">
        <v>2.6</v>
      </c>
      <c r="BY21" s="4">
        <v>2.7</v>
      </c>
      <c r="BZ21" s="4">
        <v>2.8</v>
      </c>
      <c r="CA21" s="4">
        <v>2.8</v>
      </c>
      <c r="CB21" s="4">
        <v>2.9</v>
      </c>
      <c r="CC21" s="4">
        <v>3</v>
      </c>
      <c r="CD21" s="4">
        <v>3.1</v>
      </c>
      <c r="CE21" s="4">
        <v>3.2</v>
      </c>
      <c r="CF21" s="4">
        <v>3.3</v>
      </c>
      <c r="CG21" s="4">
        <v>3.4</v>
      </c>
      <c r="CH21" s="4">
        <v>3.5</v>
      </c>
      <c r="CI21" s="5">
        <v>3.6</v>
      </c>
      <c r="CJ21" s="4">
        <v>3.8</v>
      </c>
      <c r="CK21" s="4">
        <v>4</v>
      </c>
      <c r="CL21" s="4">
        <v>4.3</v>
      </c>
      <c r="CM21" s="4">
        <v>4.5999999999999996</v>
      </c>
      <c r="CN21" s="4">
        <v>5</v>
      </c>
      <c r="CO21" s="4">
        <v>5.4</v>
      </c>
      <c r="CP21" s="4">
        <v>6</v>
      </c>
      <c r="CQ21" s="4">
        <v>6.6</v>
      </c>
    </row>
    <row r="22" spans="1:97" x14ac:dyDescent="0.25">
      <c r="A22" s="41"/>
      <c r="B22" s="64" t="s">
        <v>75</v>
      </c>
      <c r="C22" s="64"/>
      <c r="D22" s="64"/>
      <c r="E22" s="64"/>
      <c r="F22" s="40"/>
      <c r="G22" s="31"/>
      <c r="H22" s="55"/>
      <c r="I22" s="58">
        <f>IFERROR(IF(AND($D$15&lt;&gt;"",MAX($I$18:I21)&lt;$D$15)=TRUE,I21+IF($AN$7=1,1,IF($AN$7=2,0.5,"")),""),"")</f>
        <v>42</v>
      </c>
      <c r="J22" s="59">
        <f t="shared" ca="1" si="14"/>
        <v>3.1</v>
      </c>
      <c r="K22" s="55"/>
      <c r="L22" s="58">
        <f>IFERROR(IF(AND($D$15&lt;&gt;"",MAX($L$18:L21)&lt;$D$15)=TRUE,L21+IF($AN$7=1,1,IF($AN$7=2,0.5,"")),""),"")</f>
        <v>47</v>
      </c>
      <c r="M22" s="59">
        <f t="shared" ca="1" si="15"/>
        <v>3.4</v>
      </c>
      <c r="N22" s="55"/>
      <c r="O22" s="58">
        <f>IFERROR(IF(AND($D$15&lt;&gt;"",MAX($O$18:O21)&lt;$D$15)=TRUE,O21+IF($AN$7=1,1,IF($AN$7=2,0.5,"")),""),"")</f>
        <v>52</v>
      </c>
      <c r="P22" s="59">
        <f t="shared" ca="1" si="21"/>
        <v>3.6</v>
      </c>
      <c r="Q22" s="55"/>
      <c r="R22" s="58">
        <f>IFERROR(IF(AND($D$15&lt;&gt;"",MAX($R$18:R21)&lt;$D$15)=TRUE,R21+IF($AN$7=1,1,IF($AN$7=2,0.5,"")),""),"")</f>
        <v>57</v>
      </c>
      <c r="S22" s="59">
        <f t="shared" ca="1" si="16"/>
        <v>3.9</v>
      </c>
      <c r="T22" s="55"/>
      <c r="U22" s="58">
        <f>IFERROR(IF(AND($D$15&lt;&gt;"",MAX($U$18:U21)&lt;$D$15)=TRUE,U21+IF($AN$7=1,1,IF($AN$7=2,0.5,"")),""),"")</f>
        <v>62</v>
      </c>
      <c r="V22" s="59">
        <f t="shared" ca="1" si="17"/>
        <v>4.2</v>
      </c>
      <c r="W22" s="55"/>
      <c r="X22" s="58">
        <f>IFERROR(IF(AND($D$15&lt;&gt;"",MAX($X$18:X21)&lt;$D$15)=TRUE,X21+IF($AN$7=1,1,IF($AN$7=2,0.5,"")),""),"")</f>
        <v>67</v>
      </c>
      <c r="Y22" s="59">
        <f t="shared" ca="1" si="18"/>
        <v>4.5</v>
      </c>
      <c r="Z22" s="55"/>
      <c r="AA22" s="58">
        <f>IFERROR(IF(AND($D$15&lt;&gt;"",MAX($AA$18:AA21)&lt;$D$15)=TRUE,AA21+IF($AN$7=1,1,IF($AN$7=2,0.5,"")),""),"")</f>
        <v>72</v>
      </c>
      <c r="AB22" s="59">
        <f t="shared" ca="1" si="19"/>
        <v>4.9000000000000004</v>
      </c>
      <c r="AC22" s="55"/>
      <c r="AD22" s="58">
        <f>IFERROR(IF(AND($D$15&lt;&gt;"",MAX($AD$18:AD21)&lt;$D$15)=TRUE,AD21+IF($AN$7=1,1,IF($AN$7=2,0.5,"")),""),"")</f>
        <v>77</v>
      </c>
      <c r="AE22" s="59">
        <f t="shared" ca="1" si="20"/>
        <v>5.3</v>
      </c>
      <c r="AF22" s="55"/>
      <c r="AG22" s="32"/>
      <c r="AK22" s="24">
        <f>IF(AND($D$15&lt;&gt;"",MAX($AK$9:AK21)&lt;$D$15)=TRUE,AK21+0.5,"")</f>
        <v>6.5</v>
      </c>
      <c r="AL22" s="25">
        <f t="shared" ca="1" si="9"/>
        <v>1.3</v>
      </c>
      <c r="AN22" s="25">
        <f t="shared" ca="1" si="10"/>
        <v>1.3</v>
      </c>
      <c r="AO22" s="25">
        <f t="shared" ca="1" si="11"/>
        <v>1.4</v>
      </c>
      <c r="AP22" s="25">
        <f t="shared" ca="1" si="12"/>
        <v>-1.5</v>
      </c>
      <c r="AR22" s="24">
        <v>-2.7</v>
      </c>
      <c r="AS22" s="25">
        <v>1.0158400000000001</v>
      </c>
      <c r="AU22" s="25">
        <f t="shared" ca="1" si="13"/>
        <v>1.3</v>
      </c>
      <c r="BT22" s="4">
        <v>22</v>
      </c>
      <c r="BU22" s="4">
        <v>10</v>
      </c>
      <c r="BV22" s="4">
        <f t="shared" si="0"/>
        <v>1.6</v>
      </c>
      <c r="BW22" s="4">
        <v>10</v>
      </c>
      <c r="BX22" s="4">
        <v>2.7</v>
      </c>
      <c r="BY22" s="4">
        <v>2.8</v>
      </c>
      <c r="BZ22" s="4">
        <v>2.9</v>
      </c>
      <c r="CA22" s="4">
        <v>2.9</v>
      </c>
      <c r="CB22" s="4">
        <v>3</v>
      </c>
      <c r="CC22" s="4">
        <v>3.1</v>
      </c>
      <c r="CD22" s="4">
        <v>3.2</v>
      </c>
      <c r="CE22" s="4">
        <v>3.3</v>
      </c>
      <c r="CF22" s="4">
        <v>3.4</v>
      </c>
      <c r="CG22" s="4">
        <v>3.5</v>
      </c>
      <c r="CH22" s="4">
        <v>3.6</v>
      </c>
      <c r="CI22" s="5">
        <v>3.8</v>
      </c>
      <c r="CJ22" s="4">
        <v>3.9</v>
      </c>
      <c r="CK22" s="4">
        <v>4.2</v>
      </c>
      <c r="CL22" s="4">
        <v>4.5</v>
      </c>
      <c r="CM22" s="4">
        <v>4.9000000000000004</v>
      </c>
      <c r="CN22" s="4">
        <v>5.3</v>
      </c>
      <c r="CO22" s="4">
        <v>5.8</v>
      </c>
      <c r="CP22" s="4">
        <v>6.3</v>
      </c>
      <c r="CQ22" s="4">
        <v>7</v>
      </c>
    </row>
    <row r="23" spans="1:97" x14ac:dyDescent="0.25">
      <c r="A23" s="41"/>
      <c r="B23" s="41"/>
      <c r="C23" s="41"/>
      <c r="D23" s="41"/>
      <c r="E23" s="41"/>
      <c r="F23" s="38"/>
      <c r="G23" s="31"/>
      <c r="H23" s="55"/>
      <c r="I23" s="58">
        <f>IFERROR(IF(AND($D$15&lt;&gt;"",MAX($I$18:I22)&lt;$D$15)=TRUE,I22+IF($AN$7=1,1,IF($AN$7=2,0.5,"")),""),"")</f>
        <v>42.5</v>
      </c>
      <c r="J23" s="59">
        <f t="shared" ca="1" si="14"/>
        <v>3.1</v>
      </c>
      <c r="K23" s="55"/>
      <c r="L23" s="58">
        <f>IFERROR(IF(AND($D$15&lt;&gt;"",MAX($L$18:L22)&lt;$D$15)=TRUE,L22+IF($AN$7=1,1,IF($AN$7=2,0.5,"")),""),"")</f>
        <v>47.5</v>
      </c>
      <c r="M23" s="59">
        <f t="shared" ca="1" si="15"/>
        <v>3.4</v>
      </c>
      <c r="N23" s="55"/>
      <c r="O23" s="58">
        <f>IFERROR(IF(AND($D$15&lt;&gt;"",MAX($O$18:O22)&lt;$D$15)=TRUE,O22+IF($AN$7=1,1,IF($AN$7=2,0.5,"")),""),"")</f>
        <v>52.5</v>
      </c>
      <c r="P23" s="59">
        <f t="shared" ca="1" si="21"/>
        <v>3.6</v>
      </c>
      <c r="Q23" s="55"/>
      <c r="R23" s="58">
        <f>IFERROR(IF(AND($D$15&lt;&gt;"",MAX($R$18:R22)&lt;$D$15)=TRUE,R22+IF($AN$7=1,1,IF($AN$7=2,0.5,"")),""),"")</f>
        <v>57.5</v>
      </c>
      <c r="S23" s="59">
        <f t="shared" ca="1" si="16"/>
        <v>3.9</v>
      </c>
      <c r="T23" s="55"/>
      <c r="U23" s="58">
        <f>IFERROR(IF(AND($D$15&lt;&gt;"",MAX($U$18:U22)&lt;$D$15)=TRUE,U22+IF($AN$7=1,1,IF($AN$7=2,0.5,"")),""),"")</f>
        <v>62.5</v>
      </c>
      <c r="V23" s="59">
        <f t="shared" ca="1" si="17"/>
        <v>4.2</v>
      </c>
      <c r="W23" s="55"/>
      <c r="X23" s="58">
        <f>IFERROR(IF(AND($D$15&lt;&gt;"",MAX($X$18:X22)&lt;$D$15)=TRUE,X22+IF($AN$7=1,1,IF($AN$7=2,0.5,"")),""),"")</f>
        <v>67.5</v>
      </c>
      <c r="Y23" s="59">
        <f t="shared" ca="1" si="18"/>
        <v>4.5999999999999996</v>
      </c>
      <c r="Z23" s="55"/>
      <c r="AA23" s="58">
        <f>IFERROR(IF(AND($D$15&lt;&gt;"",MAX($AA$18:AA22)&lt;$D$15)=TRUE,AA22+IF($AN$7=1,1,IF($AN$7=2,0.5,"")),""),"")</f>
        <v>72.5</v>
      </c>
      <c r="AB23" s="59">
        <f t="shared" ca="1" si="19"/>
        <v>4.9000000000000004</v>
      </c>
      <c r="AC23" s="55"/>
      <c r="AD23" s="58">
        <f>IFERROR(IF(AND($D$15&lt;&gt;"",MAX($AD$18:AD22)&lt;$D$15)=TRUE,AD22+IF($AN$7=1,1,IF($AN$7=2,0.5,"")),""),"")</f>
        <v>77.5</v>
      </c>
      <c r="AE23" s="59">
        <f t="shared" ca="1" si="20"/>
        <v>5.3</v>
      </c>
      <c r="AF23" s="55"/>
      <c r="AG23" s="32"/>
      <c r="AK23" s="24">
        <f>IF(AND($D$15&lt;&gt;"",MAX($AK$9:AK22)&lt;$D$15)=TRUE,AK22+0.5,"")</f>
        <v>7</v>
      </c>
      <c r="AL23" s="25">
        <f t="shared" ca="1" si="9"/>
        <v>1.4</v>
      </c>
      <c r="AN23" s="25">
        <f t="shared" ca="1" si="10"/>
        <v>1.4</v>
      </c>
      <c r="AO23" s="25">
        <f t="shared" ca="1" si="11"/>
        <v>1.4</v>
      </c>
      <c r="AP23" s="25">
        <f t="shared" ca="1" si="12"/>
        <v>-1.5</v>
      </c>
      <c r="AR23" s="24">
        <v>-2.6</v>
      </c>
      <c r="AS23" s="25">
        <v>1.02142</v>
      </c>
      <c r="AU23" s="25">
        <f t="shared" ca="1" si="13"/>
        <v>1.3</v>
      </c>
      <c r="BT23" s="4">
        <v>23</v>
      </c>
      <c r="BU23" s="4">
        <v>10.5</v>
      </c>
      <c r="BV23" s="4">
        <f t="shared" si="0"/>
        <v>1.6</v>
      </c>
      <c r="BW23" s="4">
        <v>10.5</v>
      </c>
      <c r="BX23" s="4">
        <v>2.8</v>
      </c>
      <c r="BY23" s="4">
        <v>2.9</v>
      </c>
      <c r="BZ23" s="4">
        <v>2.9</v>
      </c>
      <c r="CA23" s="4">
        <v>3</v>
      </c>
      <c r="CB23" s="4">
        <v>3.1</v>
      </c>
      <c r="CC23" s="4">
        <v>3.2</v>
      </c>
      <c r="CD23" s="4">
        <v>3.3</v>
      </c>
      <c r="CE23" s="4">
        <v>3.4</v>
      </c>
      <c r="CF23" s="4">
        <v>3.5</v>
      </c>
      <c r="CG23" s="4">
        <v>3.6</v>
      </c>
      <c r="CH23" s="4">
        <v>3.8</v>
      </c>
      <c r="CI23" s="5">
        <v>3.9</v>
      </c>
      <c r="CJ23" s="4">
        <v>4.0999999999999996</v>
      </c>
      <c r="CK23" s="4">
        <v>4.4000000000000004</v>
      </c>
      <c r="CL23" s="4">
        <v>4.8</v>
      </c>
      <c r="CM23" s="4">
        <v>5.0999999999999996</v>
      </c>
      <c r="CN23" s="4">
        <v>5.6</v>
      </c>
      <c r="CO23" s="4">
        <v>6.1</v>
      </c>
      <c r="CP23" s="4">
        <v>6.7</v>
      </c>
    </row>
    <row r="24" spans="1:97" x14ac:dyDescent="0.25">
      <c r="A24" s="41"/>
      <c r="B24" s="41"/>
      <c r="C24" s="41"/>
      <c r="D24" s="41"/>
      <c r="E24" s="41"/>
      <c r="F24" s="38"/>
      <c r="G24" s="31"/>
      <c r="H24" s="55"/>
      <c r="I24" s="58">
        <f>IFERROR(IF(AND($D$15&lt;&gt;"",MAX($I$18:I23)&lt;$D$15)=TRUE,I23+IF($AN$7=1,1,IF($AN$7=2,0.5,"")),""),"")</f>
        <v>43</v>
      </c>
      <c r="J24" s="59">
        <f t="shared" ca="1" si="14"/>
        <v>3.2</v>
      </c>
      <c r="K24" s="55"/>
      <c r="L24" s="58">
        <f>IFERROR(IF(AND($D$15&lt;&gt;"",MAX($L$18:L23)&lt;$D$15)=TRUE,L23+IF($AN$7=1,1,IF($AN$7=2,0.5,"")),""),"")</f>
        <v>48</v>
      </c>
      <c r="M24" s="59">
        <f t="shared" ca="1" si="15"/>
        <v>3.4</v>
      </c>
      <c r="N24" s="55"/>
      <c r="O24" s="58">
        <f>IFERROR(IF(AND($D$15&lt;&gt;"",MAX($O$18:O23)&lt;$D$15)=TRUE,O23+IF($AN$7=1,1,IF($AN$7=2,0.5,"")),""),"")</f>
        <v>53</v>
      </c>
      <c r="P24" s="59">
        <f t="shared" ca="1" si="21"/>
        <v>3.7</v>
      </c>
      <c r="Q24" s="55"/>
      <c r="R24" s="58">
        <f>IFERROR(IF(AND($D$15&lt;&gt;"",MAX($R$18:R23)&lt;$D$15)=TRUE,R23+IF($AN$7=1,1,IF($AN$7=2,0.5,"")),""),"")</f>
        <v>58</v>
      </c>
      <c r="S24" s="59">
        <f t="shared" ca="1" si="16"/>
        <v>3.9</v>
      </c>
      <c r="T24" s="55"/>
      <c r="U24" s="58">
        <f>IFERROR(IF(AND($D$15&lt;&gt;"",MAX($U$18:U23)&lt;$D$15)=TRUE,U23+IF($AN$7=1,1,IF($AN$7=2,0.5,"")),""),"")</f>
        <v>63</v>
      </c>
      <c r="V24" s="59">
        <f t="shared" ca="1" si="17"/>
        <v>4.2</v>
      </c>
      <c r="W24" s="55"/>
      <c r="X24" s="58">
        <f>IFERROR(IF(AND($D$15&lt;&gt;"",MAX($X$18:X23)&lt;$D$15)=TRUE,X23+IF($AN$7=1,1,IF($AN$7=2,0.5,"")),""),"")</f>
        <v>68</v>
      </c>
      <c r="Y24" s="59">
        <f t="shared" ca="1" si="18"/>
        <v>4.5999999999999996</v>
      </c>
      <c r="Z24" s="55"/>
      <c r="AA24" s="58">
        <f>IFERROR(IF(AND($D$15&lt;&gt;"",MAX($AA$18:AA23)&lt;$D$15)=TRUE,AA23+IF($AN$7=1,1,IF($AN$7=2,0.5,"")),""),"")</f>
        <v>73</v>
      </c>
      <c r="AB24" s="59">
        <f t="shared" ca="1" si="19"/>
        <v>5</v>
      </c>
      <c r="AC24" s="55"/>
      <c r="AD24" s="58">
        <f>IFERROR(IF(AND($D$15&lt;&gt;"",MAX($AD$18:AD23)&lt;$D$15)=TRUE,AD23+IF($AN$7=1,1,IF($AN$7=2,0.5,"")),""),"")</f>
        <v>78</v>
      </c>
      <c r="AE24" s="59">
        <f t="shared" ca="1" si="20"/>
        <v>5.4</v>
      </c>
      <c r="AF24" s="55"/>
      <c r="AG24" s="32"/>
      <c r="AK24" s="24">
        <f>IF(AND($D$15&lt;&gt;"",MAX($AK$9:AK23)&lt;$D$15)=TRUE,AK23+0.5,"")</f>
        <v>7.5</v>
      </c>
      <c r="AL24" s="25">
        <f t="shared" ca="1" si="9"/>
        <v>1.4</v>
      </c>
      <c r="AN24" s="25">
        <f t="shared" ca="1" si="10"/>
        <v>1.4</v>
      </c>
      <c r="AO24" s="25">
        <f t="shared" ca="1" si="11"/>
        <v>1.5</v>
      </c>
      <c r="AP24" s="25">
        <f t="shared" ca="1" si="12"/>
        <v>-1.4</v>
      </c>
      <c r="AR24" s="24">
        <v>-2.5</v>
      </c>
      <c r="AS24" s="25">
        <v>1.0287999999999999</v>
      </c>
      <c r="AU24" s="25">
        <f t="shared" ca="1" si="13"/>
        <v>1.4</v>
      </c>
      <c r="BT24" s="4">
        <v>24</v>
      </c>
      <c r="BU24" s="4">
        <v>11</v>
      </c>
      <c r="BV24" s="4">
        <f t="shared" si="0"/>
        <v>1.6</v>
      </c>
      <c r="BW24" s="4">
        <v>11</v>
      </c>
      <c r="BX24" s="4">
        <v>2.9</v>
      </c>
      <c r="BY24" s="4">
        <v>3</v>
      </c>
      <c r="BZ24" s="4">
        <v>3</v>
      </c>
      <c r="CA24" s="4">
        <v>3.1</v>
      </c>
      <c r="CB24" s="4">
        <v>3.2</v>
      </c>
      <c r="CC24" s="4">
        <v>3.3</v>
      </c>
      <c r="CD24" s="4">
        <v>3.4</v>
      </c>
      <c r="CE24" s="4">
        <v>3.5</v>
      </c>
      <c r="CF24" s="4">
        <v>3.6</v>
      </c>
      <c r="CG24" s="4">
        <v>3.8</v>
      </c>
      <c r="CH24" s="4">
        <v>3.9</v>
      </c>
      <c r="CI24" s="5">
        <v>4.0999999999999996</v>
      </c>
      <c r="CJ24" s="4">
        <v>4.4000000000000004</v>
      </c>
      <c r="CK24" s="4">
        <v>4.7</v>
      </c>
      <c r="CL24" s="4">
        <v>5</v>
      </c>
      <c r="CM24" s="4">
        <v>5.4</v>
      </c>
      <c r="CN24" s="4">
        <v>5.8</v>
      </c>
      <c r="CO24" s="4">
        <v>6.4</v>
      </c>
      <c r="CP24" s="4">
        <v>7</v>
      </c>
    </row>
    <row r="25" spans="1:97" x14ac:dyDescent="0.25">
      <c r="A25" s="41"/>
      <c r="B25" s="41"/>
      <c r="C25" s="41"/>
      <c r="D25" s="41"/>
      <c r="E25" s="41"/>
      <c r="F25" s="38"/>
      <c r="G25" s="31"/>
      <c r="H25" s="55"/>
      <c r="I25" s="58">
        <f>IFERROR(IF(AND($D$15&lt;&gt;"",MAX($I$18:I24)&lt;$D$15)=TRUE,I24+IF($AN$7=1,1,IF($AN$7=2,0.5,"")),""),"")</f>
        <v>43.5</v>
      </c>
      <c r="J25" s="59">
        <f t="shared" ca="1" si="14"/>
        <v>3.2</v>
      </c>
      <c r="K25" s="55"/>
      <c r="L25" s="58">
        <f>IFERROR(IF(AND($D$15&lt;&gt;"",MAX($L$18:L24)&lt;$D$15)=TRUE,L24+IF($AN$7=1,1,IF($AN$7=2,0.5,"")),""),"")</f>
        <v>48.5</v>
      </c>
      <c r="M25" s="59">
        <f t="shared" ca="1" si="15"/>
        <v>3.4</v>
      </c>
      <c r="N25" s="55"/>
      <c r="O25" s="58">
        <f>IFERROR(IF(AND($D$15&lt;&gt;"",MAX($O$18:O24)&lt;$D$15)=TRUE,O24+IF($AN$7=1,1,IF($AN$7=2,0.5,"")),""),"")</f>
        <v>53.5</v>
      </c>
      <c r="P25" s="59">
        <f t="shared" ca="1" si="21"/>
        <v>3.7</v>
      </c>
      <c r="Q25" s="55"/>
      <c r="R25" s="58">
        <f>IFERROR(IF(AND($D$15&lt;&gt;"",MAX($R$18:R24)&lt;$D$15)=TRUE,R24+IF($AN$7=1,1,IF($AN$7=2,0.5,"")),""),"")</f>
        <v>58.5</v>
      </c>
      <c r="S25" s="59">
        <f t="shared" ca="1" si="16"/>
        <v>3.9</v>
      </c>
      <c r="T25" s="55"/>
      <c r="U25" s="58">
        <f>IFERROR(IF(AND($D$15&lt;&gt;"",MAX($U$18:U24)&lt;$D$15)=TRUE,U24+IF($AN$7=1,1,IF($AN$7=2,0.5,"")),""),"")</f>
        <v>63.5</v>
      </c>
      <c r="V25" s="59">
        <f t="shared" ca="1" si="17"/>
        <v>4.3</v>
      </c>
      <c r="W25" s="55"/>
      <c r="X25" s="58">
        <f>IFERROR(IF(AND($D$15&lt;&gt;"",MAX($X$18:X24)&lt;$D$15)=TRUE,X24+IF($AN$7=1,1,IF($AN$7=2,0.5,"")),""),"")</f>
        <v>68.5</v>
      </c>
      <c r="Y25" s="59">
        <f t="shared" ca="1" si="18"/>
        <v>4.5999999999999996</v>
      </c>
      <c r="Z25" s="55"/>
      <c r="AA25" s="58">
        <f>IFERROR(IF(AND($D$15&lt;&gt;"",MAX($AA$18:AA24)&lt;$D$15)=TRUE,AA24+IF($AN$7=1,1,IF($AN$7=2,0.5,"")),""),"")</f>
        <v>73.5</v>
      </c>
      <c r="AB25" s="59">
        <f t="shared" ca="1" si="19"/>
        <v>5</v>
      </c>
      <c r="AC25" s="55"/>
      <c r="AD25" s="58">
        <f>IFERROR(IF(AND($D$15&lt;&gt;"",MAX($AD$18:AD24)&lt;$D$15)=TRUE,AD24+IF($AN$7=1,1,IF($AN$7=2,0.5,"")),""),"")</f>
        <v>78.5</v>
      </c>
      <c r="AE25" s="59">
        <f t="shared" ca="1" si="20"/>
        <v>5.4</v>
      </c>
      <c r="AF25" s="55"/>
      <c r="AG25" s="32"/>
      <c r="AK25" s="24">
        <f>IF(AND($D$15&lt;&gt;"",MAX($AK$9:AK24)&lt;$D$15)=TRUE,AK24+0.5,"")</f>
        <v>8</v>
      </c>
      <c r="AL25" s="25">
        <f t="shared" ca="1" si="9"/>
        <v>1.4</v>
      </c>
      <c r="AN25" s="25">
        <f t="shared" ca="1" si="10"/>
        <v>1.4</v>
      </c>
      <c r="AO25" s="25">
        <f t="shared" ca="1" si="11"/>
        <v>1.5</v>
      </c>
      <c r="AP25" s="25">
        <f t="shared" ca="1" si="12"/>
        <v>-1.4</v>
      </c>
      <c r="AR25" s="24">
        <v>-2.4</v>
      </c>
      <c r="AS25" s="25">
        <v>1.03834</v>
      </c>
      <c r="AU25" s="25">
        <f t="shared" ca="1" si="13"/>
        <v>1.4</v>
      </c>
      <c r="BT25" s="4">
        <v>25</v>
      </c>
      <c r="BU25" s="4">
        <v>11.5</v>
      </c>
      <c r="BV25" s="4">
        <f t="shared" si="0"/>
        <v>1.6</v>
      </c>
      <c r="BW25" s="4">
        <v>11.5</v>
      </c>
      <c r="BX25" s="4">
        <v>3</v>
      </c>
      <c r="BY25" s="4">
        <v>3.1</v>
      </c>
      <c r="BZ25" s="4">
        <v>3.1</v>
      </c>
      <c r="CA25" s="4">
        <v>3.2</v>
      </c>
      <c r="CB25" s="4">
        <v>3.3</v>
      </c>
      <c r="CC25" s="4">
        <v>3.4</v>
      </c>
      <c r="CD25" s="4">
        <v>3.5</v>
      </c>
      <c r="CE25" s="4">
        <v>3.6</v>
      </c>
      <c r="CF25" s="4">
        <v>3.7</v>
      </c>
      <c r="CG25" s="4">
        <v>3.9</v>
      </c>
      <c r="CH25" s="4">
        <v>4</v>
      </c>
      <c r="CI25" s="5">
        <v>4.3</v>
      </c>
      <c r="CJ25" s="4">
        <v>4.5999999999999996</v>
      </c>
      <c r="CK25" s="4">
        <v>4.9000000000000004</v>
      </c>
      <c r="CL25" s="4">
        <v>5.3</v>
      </c>
      <c r="CM25" s="4">
        <v>5.7</v>
      </c>
      <c r="CN25" s="4">
        <v>6.1</v>
      </c>
      <c r="CO25" s="4">
        <v>6.7</v>
      </c>
    </row>
    <row r="26" spans="1:97" x14ac:dyDescent="0.25">
      <c r="A26" s="41"/>
      <c r="B26" s="41"/>
      <c r="C26" s="41"/>
      <c r="D26" s="41"/>
      <c r="E26" s="41"/>
      <c r="F26" s="38"/>
      <c r="G26" s="31"/>
      <c r="H26" s="55"/>
      <c r="I26" s="58">
        <f>IFERROR(IF(AND($D$15&lt;&gt;"",MAX($I$18:I25)&lt;$D$15)=TRUE,I25+IF($AN$7=1,1,IF($AN$7=2,0.5,"")),""),"")</f>
        <v>44</v>
      </c>
      <c r="J26" s="59">
        <f t="shared" ca="1" si="14"/>
        <v>3.2</v>
      </c>
      <c r="K26" s="55"/>
      <c r="L26" s="58">
        <f>IFERROR(IF(AND($D$15&lt;&gt;"",MAX($L$18:L25)&lt;$D$15)=TRUE,L25+IF($AN$7=1,1,IF($AN$7=2,0.5,"")),""),"")</f>
        <v>49</v>
      </c>
      <c r="M26" s="59">
        <f t="shared" ca="1" si="15"/>
        <v>3.5</v>
      </c>
      <c r="N26" s="55"/>
      <c r="O26" s="58">
        <f>IFERROR(IF(AND($D$15&lt;&gt;"",MAX($O$18:O25)&lt;$D$15)=TRUE,O25+IF($AN$7=1,1,IF($AN$7=2,0.5,"")),""),"")</f>
        <v>54</v>
      </c>
      <c r="P26" s="59">
        <f t="shared" ca="1" si="21"/>
        <v>3.7</v>
      </c>
      <c r="Q26" s="60"/>
      <c r="R26" s="58">
        <f>IFERROR(IF(AND($D$15&lt;&gt;"",MAX($R$18:R25)&lt;$D$15)=TRUE,R25+IF($AN$7=1,1,IF($AN$7=2,0.5,"")),""),"")</f>
        <v>59</v>
      </c>
      <c r="S26" s="59">
        <f t="shared" ca="1" si="16"/>
        <v>4</v>
      </c>
      <c r="T26" s="60"/>
      <c r="U26" s="58">
        <f>IFERROR(IF(AND($D$15&lt;&gt;"",MAX($U$18:U25)&lt;$D$15)=TRUE,U25+IF($AN$7=1,1,IF($AN$7=2,0.5,"")),""),"")</f>
        <v>64</v>
      </c>
      <c r="V26" s="59">
        <f t="shared" ca="1" si="17"/>
        <v>4.3</v>
      </c>
      <c r="W26" s="55"/>
      <c r="X26" s="58">
        <f>IFERROR(IF(AND($D$15&lt;&gt;"",MAX($X$18:X25)&lt;$D$15)=TRUE,X25+IF($AN$7=1,1,IF($AN$7=2,0.5,"")),""),"")</f>
        <v>69</v>
      </c>
      <c r="Y26" s="59">
        <f t="shared" ca="1" si="18"/>
        <v>4.7</v>
      </c>
      <c r="Z26" s="55"/>
      <c r="AA26" s="58">
        <f>IFERROR(IF(AND($D$15&lt;&gt;"",MAX($AA$18:AA25)&lt;$D$15)=TRUE,AA25+IF($AN$7=1,1,IF($AN$7=2,0.5,"")),""),"")</f>
        <v>74</v>
      </c>
      <c r="AB26" s="59">
        <f t="shared" ca="1" si="19"/>
        <v>5.0999999999999996</v>
      </c>
      <c r="AC26" s="55"/>
      <c r="AD26" s="58">
        <f>IFERROR(IF(AND($D$15&lt;&gt;"",MAX($AD$18:AD25)&lt;$D$15)=TRUE,AD25+IF($AN$7=1,1,IF($AN$7=2,0.5,"")),""),"")</f>
        <v>79</v>
      </c>
      <c r="AE26" s="59">
        <f t="shared" ca="1" si="20"/>
        <v>5.4</v>
      </c>
      <c r="AF26" s="55"/>
      <c r="AG26" s="32"/>
      <c r="AK26" s="24">
        <f>IF(AND($D$15&lt;&gt;"",MAX($AK$9:AK25)&lt;$D$15)=TRUE,AK25+0.5,"")</f>
        <v>8.5</v>
      </c>
      <c r="AL26" s="25">
        <f t="shared" ca="1" si="9"/>
        <v>1.4</v>
      </c>
      <c r="AN26" s="25">
        <f t="shared" ca="1" si="10"/>
        <v>1.4</v>
      </c>
      <c r="AO26" s="25">
        <f t="shared" ca="1" si="11"/>
        <v>1.5</v>
      </c>
      <c r="AP26" s="25">
        <f t="shared" ca="1" si="12"/>
        <v>-1.4</v>
      </c>
      <c r="AR26" s="24">
        <v>-2.2999999999999998</v>
      </c>
      <c r="AS26" s="25">
        <v>1.0505199999999999</v>
      </c>
      <c r="AU26" s="25">
        <f t="shared" ca="1" si="13"/>
        <v>1.4</v>
      </c>
      <c r="BT26" s="4">
        <v>26</v>
      </c>
      <c r="BU26" s="4">
        <v>12</v>
      </c>
      <c r="BV26" s="4">
        <f t="shared" si="0"/>
        <v>1.7</v>
      </c>
      <c r="BW26" s="4">
        <v>12</v>
      </c>
      <c r="BX26" s="4">
        <v>3.1</v>
      </c>
      <c r="BY26" s="4">
        <v>3.1</v>
      </c>
      <c r="BZ26" s="4">
        <v>3.2</v>
      </c>
      <c r="CA26" s="4">
        <v>3.3</v>
      </c>
      <c r="CB26" s="4">
        <v>3.4</v>
      </c>
      <c r="CC26" s="4">
        <v>3.5</v>
      </c>
      <c r="CD26" s="4">
        <v>3.6</v>
      </c>
      <c r="CE26" s="4">
        <v>3.7</v>
      </c>
      <c r="CF26" s="4">
        <v>3.9</v>
      </c>
      <c r="CG26" s="4">
        <v>4</v>
      </c>
      <c r="CH26" s="4">
        <v>4.2</v>
      </c>
      <c r="CI26" s="5">
        <v>4.5</v>
      </c>
      <c r="CJ26" s="4">
        <v>4.8</v>
      </c>
      <c r="CK26" s="4">
        <v>5.0999999999999996</v>
      </c>
      <c r="CL26" s="4">
        <v>5.5</v>
      </c>
      <c r="CM26" s="4">
        <v>5.9</v>
      </c>
      <c r="CN26" s="4">
        <v>6.4</v>
      </c>
      <c r="CO26" s="4">
        <v>7</v>
      </c>
    </row>
    <row r="27" spans="1:97" x14ac:dyDescent="0.25">
      <c r="A27" s="41"/>
      <c r="B27" s="41"/>
      <c r="C27" s="45"/>
      <c r="D27" s="41"/>
      <c r="E27" s="41"/>
      <c r="F27" s="38"/>
      <c r="G27" s="31"/>
      <c r="H27" s="55"/>
      <c r="I27" s="58">
        <f>IFERROR(IF(AND($D$15&lt;&gt;"",MAX($I$18:I26)&lt;$D$15)=TRUE,I26+IF($AN$7=1,1,IF($AN$7=2,0.5,"")),""),"")</f>
        <v>44.5</v>
      </c>
      <c r="J27" s="59">
        <f t="shared" ca="1" si="14"/>
        <v>3.2</v>
      </c>
      <c r="K27" s="55"/>
      <c r="L27" s="58">
        <f>IFERROR(IF(AND($D$15&lt;&gt;"",MAX($L$18:L26)&lt;$D$15)=TRUE,L26+IF($AN$7=1,1,IF($AN$7=2,0.5,"")),""),"")</f>
        <v>49.5</v>
      </c>
      <c r="M27" s="59">
        <f t="shared" ca="1" si="15"/>
        <v>3.5</v>
      </c>
      <c r="N27" s="55"/>
      <c r="O27" s="58">
        <f>IFERROR(IF(AND($D$15&lt;&gt;"",MAX($O$18:O26)&lt;$D$15)=TRUE,O26+IF($AN$7=1,1,IF($AN$7=2,0.5,"")),""),"")</f>
        <v>54.5</v>
      </c>
      <c r="P27" s="59">
        <f t="shared" ca="1" si="21"/>
        <v>3.7</v>
      </c>
      <c r="Q27" s="55"/>
      <c r="R27" s="58">
        <f>IFERROR(IF(AND($D$15&lt;&gt;"",MAX($R$18:R26)&lt;$D$15)=TRUE,R26+IF($AN$7=1,1,IF($AN$7=2,0.5,"")),""),"")</f>
        <v>59.5</v>
      </c>
      <c r="S27" s="59">
        <f t="shared" ca="1" si="16"/>
        <v>4</v>
      </c>
      <c r="T27" s="55"/>
      <c r="U27" s="58">
        <f>IFERROR(IF(AND($D$15&lt;&gt;"",MAX($U$18:U26)&lt;$D$15)=TRUE,U26+IF($AN$7=1,1,IF($AN$7=2,0.5,"")),""),"")</f>
        <v>64.5</v>
      </c>
      <c r="V27" s="59">
        <f t="shared" ca="1" si="17"/>
        <v>4.3</v>
      </c>
      <c r="W27" s="55"/>
      <c r="X27" s="58">
        <f>IFERROR(IF(AND($D$15&lt;&gt;"",MAX($X$18:X26)&lt;$D$15)=TRUE,X26+IF($AN$7=1,1,IF($AN$7=2,0.5,"")),""),"")</f>
        <v>69.5</v>
      </c>
      <c r="Y27" s="59">
        <f t="shared" ca="1" si="18"/>
        <v>4.7</v>
      </c>
      <c r="Z27" s="55"/>
      <c r="AA27" s="58">
        <f>IFERROR(IF(AND($D$15&lt;&gt;"",MAX($AA$18:AA26)&lt;$D$15)=TRUE,AA26+IF($AN$7=1,1,IF($AN$7=2,0.5,"")),""),"")</f>
        <v>74.5</v>
      </c>
      <c r="AB27" s="59">
        <f t="shared" ca="1" si="19"/>
        <v>5.0999999999999996</v>
      </c>
      <c r="AC27" s="55"/>
      <c r="AD27" s="58">
        <f>IFERROR(IF(AND($D$15&lt;&gt;"",MAX($AD$18:AD26)&lt;$D$15)=TRUE,AD26+IF($AN$7=1,1,IF($AN$7=2,0.5,"")),""),"")</f>
        <v>79.5</v>
      </c>
      <c r="AE27" s="59">
        <f t="shared" ca="1" si="20"/>
        <v>5.5</v>
      </c>
      <c r="AF27" s="55"/>
      <c r="AG27" s="32"/>
      <c r="AK27" s="24">
        <f>IF(AND($D$15&lt;&gt;"",MAX($AK$9:AK26)&lt;$D$15)=TRUE,AK26+0.5,"")</f>
        <v>9</v>
      </c>
      <c r="AL27" s="25">
        <f t="shared" ca="1" si="9"/>
        <v>1.5</v>
      </c>
      <c r="AN27" s="25">
        <f t="shared" ca="1" si="10"/>
        <v>1.5</v>
      </c>
      <c r="AO27" s="25">
        <f t="shared" ca="1" si="11"/>
        <v>1.5</v>
      </c>
      <c r="AP27" s="25">
        <f t="shared" ca="1" si="12"/>
        <v>-1.4</v>
      </c>
      <c r="AR27" s="24">
        <v>-2.2000000000000002</v>
      </c>
      <c r="AS27" s="25">
        <v>1.06606</v>
      </c>
      <c r="AU27" s="25">
        <f t="shared" ca="1" si="13"/>
        <v>1.4</v>
      </c>
      <c r="BT27" s="4">
        <v>27</v>
      </c>
      <c r="BU27" s="4">
        <v>12.5</v>
      </c>
      <c r="BV27" s="4">
        <f t="shared" si="0"/>
        <v>1.7</v>
      </c>
      <c r="BW27" s="4">
        <v>12.5</v>
      </c>
      <c r="BX27" s="4">
        <v>3.2</v>
      </c>
      <c r="BY27" s="4">
        <v>3.2</v>
      </c>
      <c r="BZ27" s="4">
        <v>3.3</v>
      </c>
      <c r="CA27" s="4">
        <v>3.4</v>
      </c>
      <c r="CB27" s="4">
        <v>3.5</v>
      </c>
      <c r="CC27" s="4">
        <v>3.6</v>
      </c>
      <c r="CD27" s="4">
        <v>3.7</v>
      </c>
      <c r="CE27" s="4">
        <v>3.8</v>
      </c>
      <c r="CF27" s="4">
        <v>4</v>
      </c>
      <c r="CG27" s="4">
        <v>4.2</v>
      </c>
      <c r="CH27" s="4">
        <v>4.4000000000000004</v>
      </c>
      <c r="CI27" s="5">
        <v>4.7</v>
      </c>
      <c r="CJ27" s="4">
        <v>5</v>
      </c>
      <c r="CK27" s="4">
        <v>5.4</v>
      </c>
      <c r="CL27" s="4">
        <v>5.8</v>
      </c>
      <c r="CM27" s="4">
        <v>6.2</v>
      </c>
      <c r="CN27" s="4">
        <v>6.7</v>
      </c>
    </row>
    <row r="28" spans="1:97" x14ac:dyDescent="0.25">
      <c r="A28" s="41"/>
      <c r="B28" s="41"/>
      <c r="C28" s="41"/>
      <c r="D28" s="41"/>
      <c r="E28" s="41"/>
      <c r="F28" s="38"/>
      <c r="G28" s="31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60"/>
      <c r="X28" s="55"/>
      <c r="Y28" s="55"/>
      <c r="Z28" s="60"/>
      <c r="AA28" s="55"/>
      <c r="AB28" s="55"/>
      <c r="AC28" s="55"/>
      <c r="AD28" s="55"/>
      <c r="AE28" s="55"/>
      <c r="AF28" s="55"/>
      <c r="AG28" s="32"/>
      <c r="AK28" s="24">
        <f>IF(AND($D$15&lt;&gt;"",MAX($AK$9:AK27)&lt;$D$15)=TRUE,AK27+0.5,"")</f>
        <v>9.5</v>
      </c>
      <c r="AL28" s="25">
        <f t="shared" ca="1" si="9"/>
        <v>1.5</v>
      </c>
      <c r="AN28" s="25">
        <f t="shared" ca="1" si="10"/>
        <v>1.5</v>
      </c>
      <c r="AO28" s="25">
        <f t="shared" ca="1" si="11"/>
        <v>1.6</v>
      </c>
      <c r="AP28" s="25">
        <f t="shared" ca="1" si="12"/>
        <v>-1.4</v>
      </c>
      <c r="AR28" s="24">
        <v>-2.1</v>
      </c>
      <c r="AS28" s="25">
        <v>1.0855600000000001</v>
      </c>
      <c r="AU28" s="25">
        <f t="shared" ca="1" si="13"/>
        <v>1.4</v>
      </c>
      <c r="BT28" s="4">
        <v>28</v>
      </c>
      <c r="BU28" s="4">
        <v>13</v>
      </c>
      <c r="BV28" s="4">
        <f t="shared" si="0"/>
        <v>1.7</v>
      </c>
      <c r="BW28" s="4">
        <v>13</v>
      </c>
      <c r="BX28" s="4">
        <v>3.2</v>
      </c>
      <c r="BY28" s="4">
        <v>3.3</v>
      </c>
      <c r="BZ28" s="4">
        <v>3.4</v>
      </c>
      <c r="CA28" s="4">
        <v>3.5</v>
      </c>
      <c r="CB28" s="4">
        <v>3.6</v>
      </c>
      <c r="CC28" s="4">
        <v>3.7</v>
      </c>
      <c r="CD28" s="4">
        <v>3.8</v>
      </c>
      <c r="CE28" s="4">
        <v>4</v>
      </c>
      <c r="CF28" s="4">
        <v>4.0999999999999996</v>
      </c>
      <c r="CG28" s="4">
        <v>4.4000000000000004</v>
      </c>
      <c r="CH28" s="4">
        <v>4.5999999999999996</v>
      </c>
      <c r="CI28" s="5">
        <v>4.9000000000000004</v>
      </c>
      <c r="CJ28" s="4">
        <v>5.2</v>
      </c>
      <c r="CK28" s="4">
        <v>5.6</v>
      </c>
      <c r="CL28" s="4">
        <v>6</v>
      </c>
      <c r="CM28" s="4">
        <v>6.5</v>
      </c>
      <c r="CN28" s="4">
        <v>7</v>
      </c>
    </row>
    <row r="29" spans="1:97" x14ac:dyDescent="0.25">
      <c r="A29" s="41"/>
      <c r="B29" s="41"/>
      <c r="C29" s="41"/>
      <c r="D29" s="41"/>
      <c r="E29" s="41"/>
      <c r="F29" s="38"/>
      <c r="G29" s="31"/>
      <c r="H29" s="55"/>
      <c r="I29" s="57" t="s">
        <v>10</v>
      </c>
      <c r="J29" s="57" t="s">
        <v>11</v>
      </c>
      <c r="K29" s="55"/>
      <c r="L29" s="57" t="s">
        <v>10</v>
      </c>
      <c r="M29" s="57" t="s">
        <v>11</v>
      </c>
      <c r="N29" s="55"/>
      <c r="O29" s="57" t="s">
        <v>10</v>
      </c>
      <c r="P29" s="57" t="s">
        <v>11</v>
      </c>
      <c r="Q29" s="55"/>
      <c r="R29" s="57" t="s">
        <v>10</v>
      </c>
      <c r="S29" s="57" t="s">
        <v>11</v>
      </c>
      <c r="T29" s="55"/>
      <c r="U29" s="55"/>
      <c r="V29" s="55"/>
      <c r="W29" s="60"/>
      <c r="X29" s="55"/>
      <c r="Y29" s="55"/>
      <c r="Z29" s="60"/>
      <c r="AA29" s="55"/>
      <c r="AB29" s="55"/>
      <c r="AC29" s="55"/>
      <c r="AD29" s="55"/>
      <c r="AE29" s="55"/>
      <c r="AF29" s="55"/>
      <c r="AG29" s="32"/>
      <c r="AK29" s="24">
        <f>IF(AND($D$15&lt;&gt;"",MAX($AK$9:AK28)&lt;$D$15)=TRUE,AK28+0.5,"")</f>
        <v>10</v>
      </c>
      <c r="AL29" s="25">
        <f t="shared" ca="1" si="9"/>
        <v>1.5</v>
      </c>
      <c r="AN29" s="25">
        <f t="shared" ca="1" si="10"/>
        <v>1.5</v>
      </c>
      <c r="AO29" s="25">
        <f t="shared" ca="1" si="11"/>
        <v>1.6</v>
      </c>
      <c r="AP29" s="25">
        <f t="shared" ca="1" si="12"/>
        <v>-1.4</v>
      </c>
      <c r="AR29" s="24">
        <v>-2</v>
      </c>
      <c r="AS29" s="24">
        <v>1.1098600000000001</v>
      </c>
      <c r="AU29" s="25">
        <f t="shared" ca="1" si="13"/>
        <v>1.4</v>
      </c>
      <c r="BT29" s="4">
        <v>29</v>
      </c>
      <c r="BU29" s="4">
        <v>13.5</v>
      </c>
      <c r="BV29" s="4">
        <f t="shared" si="0"/>
        <v>1.8</v>
      </c>
      <c r="BW29" s="4">
        <v>13.5</v>
      </c>
      <c r="BX29" s="4">
        <v>3.3</v>
      </c>
      <c r="BY29" s="4">
        <v>3.4</v>
      </c>
      <c r="BZ29" s="4">
        <v>3.5</v>
      </c>
      <c r="CA29" s="4">
        <v>3.6</v>
      </c>
      <c r="CB29" s="4">
        <v>3.7</v>
      </c>
      <c r="CC29" s="4">
        <v>3.8</v>
      </c>
      <c r="CD29" s="4">
        <v>3.9</v>
      </c>
      <c r="CE29" s="4">
        <v>4.0999999999999996</v>
      </c>
      <c r="CF29" s="4">
        <v>4.3</v>
      </c>
      <c r="CG29" s="4">
        <v>4.5999999999999996</v>
      </c>
      <c r="CH29" s="4">
        <v>4.8</v>
      </c>
      <c r="CI29" s="5">
        <v>5.0999999999999996</v>
      </c>
      <c r="CJ29" s="4">
        <v>5.5</v>
      </c>
      <c r="CK29" s="4">
        <v>5.8</v>
      </c>
      <c r="CL29" s="4">
        <v>6.3</v>
      </c>
      <c r="CM29" s="4">
        <v>6.7</v>
      </c>
    </row>
    <row r="30" spans="1:97" x14ac:dyDescent="0.25">
      <c r="A30" s="41"/>
      <c r="B30" s="41"/>
      <c r="C30" s="41"/>
      <c r="D30" s="41"/>
      <c r="E30" s="41"/>
      <c r="F30" s="38"/>
      <c r="G30" s="31"/>
      <c r="H30" s="55"/>
      <c r="I30" s="58">
        <f>IFERROR(IF(AND($D$15&lt;&gt;"",MAX($AD$18:AD27)&lt;$D$15)=TRUE,AD27+IF($AN$7=1,1,IF($AN$7=2,0.5,"")),""),"")</f>
        <v>80</v>
      </c>
      <c r="J30" s="59">
        <f t="shared" ref="J30:J39" ca="1" si="22">IF(I30&gt;$D$15,"",VLOOKUP(I30,$AK$9:$AL$609,2,FALSE))</f>
        <v>5.5</v>
      </c>
      <c r="K30" s="55"/>
      <c r="L30" s="58">
        <f>IFERROR(IF(AND($D$15&lt;&gt;"",MAX($I$39:I39)&lt;$D$15)=TRUE,I39+IF($AN$7=1,1,IF($AN$7=2,0.5,"")),""),"")</f>
        <v>85</v>
      </c>
      <c r="M30" s="59">
        <f t="shared" ref="M30:M39" ca="1" si="23">IF(L30&gt;$D$15,"",VLOOKUP(L30,$AK$9:$AL$609,2,FALSE))</f>
        <v>5.9</v>
      </c>
      <c r="N30" s="55"/>
      <c r="O30" s="58">
        <f>IFERROR(IF(AND($D$15&lt;&gt;"",MAX($L$39:L39)&lt;$D$15)=TRUE,L39+IF($AN$7=1,1,IF($AN$7=2,0.5,"")),""),"")</f>
        <v>90</v>
      </c>
      <c r="P30" s="59">
        <f t="shared" ref="P30:P39" ca="1" si="24">IF(O30&gt;$D$15,"",VLOOKUP(O30,$AK$9:$AL$609,2,FALSE))</f>
        <v>6.3</v>
      </c>
      <c r="Q30" s="55"/>
      <c r="R30" s="58">
        <f>IFERROR(IF(AND($D$15&lt;&gt;"",MAX($O$39:O39)&lt;$D$15)=TRUE,O39+IF($AN$7=1,1,IF($AN$7=2,0.5,"")),""),"")</f>
        <v>95</v>
      </c>
      <c r="S30" s="59">
        <f t="shared" ref="S30:S39" ca="1" si="25">IF(R30&gt;$D$15,"",VLOOKUP(R30,$AK$9:$AL$609,2,FALSE))</f>
        <v>6.6</v>
      </c>
      <c r="T30" s="55"/>
      <c r="U30" s="55"/>
      <c r="V30" s="55"/>
      <c r="W30" s="60"/>
      <c r="X30" s="55"/>
      <c r="Y30" s="55"/>
      <c r="Z30" s="60"/>
      <c r="AA30" s="55"/>
      <c r="AB30" s="55"/>
      <c r="AC30" s="55"/>
      <c r="AD30" s="55"/>
      <c r="AE30" s="55"/>
      <c r="AF30" s="55"/>
      <c r="AG30" s="32"/>
      <c r="AK30" s="24">
        <f>IF(AND($D$15&lt;&gt;"",MAX($AK$9:AK29)&lt;$D$15)=TRUE,AK29+0.5,"")</f>
        <v>10.5</v>
      </c>
      <c r="AL30" s="25">
        <f t="shared" ca="1" si="9"/>
        <v>1.5</v>
      </c>
      <c r="AN30" s="25">
        <f t="shared" ca="1" si="10"/>
        <v>1.5</v>
      </c>
      <c r="AO30" s="25">
        <f t="shared" ca="1" si="11"/>
        <v>1.6</v>
      </c>
      <c r="AP30" s="25">
        <f t="shared" ca="1" si="12"/>
        <v>-1.4</v>
      </c>
      <c r="AR30" s="24">
        <v>-1.9</v>
      </c>
      <c r="AS30" s="24">
        <v>1.1397999999999999</v>
      </c>
      <c r="AU30" s="25">
        <f t="shared" ca="1" si="13"/>
        <v>1.4</v>
      </c>
      <c r="BT30" s="4">
        <v>30</v>
      </c>
      <c r="BU30" s="4">
        <v>14</v>
      </c>
      <c r="BV30" s="4">
        <f t="shared" si="0"/>
        <v>1.8</v>
      </c>
      <c r="BW30" s="4">
        <v>14</v>
      </c>
      <c r="BX30" s="4">
        <v>3.4</v>
      </c>
      <c r="BY30" s="4">
        <v>3.5</v>
      </c>
      <c r="BZ30" s="4">
        <v>3.6</v>
      </c>
      <c r="CA30" s="4">
        <v>3.7</v>
      </c>
      <c r="CB30" s="4">
        <v>3.8</v>
      </c>
      <c r="CC30" s="4">
        <v>3.9</v>
      </c>
      <c r="CD30" s="4">
        <v>4.0999999999999996</v>
      </c>
      <c r="CE30" s="4">
        <v>4.3</v>
      </c>
      <c r="CF30" s="4">
        <v>4.5</v>
      </c>
      <c r="CG30" s="4">
        <v>4.8</v>
      </c>
      <c r="CH30" s="4">
        <v>5</v>
      </c>
      <c r="CI30" s="5">
        <v>5.3</v>
      </c>
      <c r="CJ30" s="4">
        <v>5.7</v>
      </c>
      <c r="CK30" s="4">
        <v>6.1</v>
      </c>
      <c r="CL30" s="4">
        <v>6.5</v>
      </c>
      <c r="CM30" s="4">
        <v>7</v>
      </c>
    </row>
    <row r="31" spans="1:97" x14ac:dyDescent="0.25">
      <c r="A31" s="41"/>
      <c r="B31" s="41"/>
      <c r="C31" s="41"/>
      <c r="D31" s="41"/>
      <c r="E31" s="41"/>
      <c r="F31" s="38"/>
      <c r="G31" s="31"/>
      <c r="H31" s="55"/>
      <c r="I31" s="58">
        <f>IFERROR(IF(AND($D$15&lt;&gt;"",MAX($I$30:I30)&lt;$D$15)=TRUE,I30+IF($AN$7=1,1,IF($AN$7=2,0.5,"")),""),"")</f>
        <v>80.5</v>
      </c>
      <c r="J31" s="59">
        <f t="shared" ca="1" si="22"/>
        <v>5.5</v>
      </c>
      <c r="K31" s="55"/>
      <c r="L31" s="58">
        <f>IFERROR(IF(AND($D$15&lt;&gt;"",MAX($L$30:L30)&lt;$D$15)=TRUE,L30+IF($AN$7=1,1,IF($AN$7=2,0.5,"")),""),"")</f>
        <v>85.5</v>
      </c>
      <c r="M31" s="59">
        <f t="shared" ca="1" si="23"/>
        <v>5.9</v>
      </c>
      <c r="N31" s="55"/>
      <c r="O31" s="58">
        <f>IFERROR(IF(AND($D$15&lt;&gt;"",MAX($O$30:O30)&lt;$D$15)=TRUE,O30+IF($AN$7=1,1,IF($AN$7=2,0.5,"")),""),"")</f>
        <v>90.5</v>
      </c>
      <c r="P31" s="59">
        <f t="shared" ca="1" si="24"/>
        <v>6.3</v>
      </c>
      <c r="Q31" s="55"/>
      <c r="R31" s="58">
        <f>IFERROR(IF(AND($D$15&lt;&gt;"",MAX($R$30:R30)&lt;$D$15)=TRUE,R30+IF($AN$7=1,1,IF($AN$7=2,0.5,"")),""),"")</f>
        <v>95.5</v>
      </c>
      <c r="S31" s="59">
        <f t="shared" ca="1" si="25"/>
        <v>6.7</v>
      </c>
      <c r="T31" s="55"/>
      <c r="U31" s="55"/>
      <c r="V31" s="55"/>
      <c r="W31" s="60"/>
      <c r="X31" s="55"/>
      <c r="Y31" s="55"/>
      <c r="Z31" s="60"/>
      <c r="AA31" s="55"/>
      <c r="AB31" s="55"/>
      <c r="AC31" s="55"/>
      <c r="AD31" s="55"/>
      <c r="AE31" s="55"/>
      <c r="AF31" s="55"/>
      <c r="AG31" s="32"/>
      <c r="AK31" s="24">
        <f>IF(AND($D$15&lt;&gt;"",MAX($AK$9:AK30)&lt;$D$15)=TRUE,AK30+0.5,"")</f>
        <v>11</v>
      </c>
      <c r="AL31" s="25">
        <f t="shared" ca="1" si="9"/>
        <v>1.6</v>
      </c>
      <c r="AN31" s="25">
        <f t="shared" ca="1" si="10"/>
        <v>1.6</v>
      </c>
      <c r="AO31" s="25">
        <f t="shared" ca="1" si="11"/>
        <v>1.7</v>
      </c>
      <c r="AP31" s="25">
        <f t="shared" ca="1" si="12"/>
        <v>-1.3</v>
      </c>
      <c r="AR31" s="24">
        <v>-1.8</v>
      </c>
      <c r="AS31" s="24">
        <v>1.17628</v>
      </c>
      <c r="AU31" s="25">
        <f t="shared" ca="1" si="13"/>
        <v>1.5</v>
      </c>
      <c r="BT31" s="4">
        <v>31</v>
      </c>
      <c r="BU31" s="4">
        <v>14.5</v>
      </c>
      <c r="BV31" s="4">
        <f t="shared" si="0"/>
        <v>1.8</v>
      </c>
      <c r="BW31" s="4">
        <v>14.5</v>
      </c>
      <c r="BX31" s="4">
        <v>3.5</v>
      </c>
      <c r="BY31" s="4">
        <v>3.6</v>
      </c>
      <c r="BZ31" s="4">
        <v>3.7</v>
      </c>
      <c r="CA31" s="4">
        <v>3.8</v>
      </c>
      <c r="CB31" s="4">
        <v>3.9</v>
      </c>
      <c r="CC31" s="4">
        <v>4</v>
      </c>
      <c r="CD31" s="4">
        <v>4.2</v>
      </c>
      <c r="CE31" s="4">
        <v>4.4000000000000004</v>
      </c>
      <c r="CF31" s="4">
        <v>4.7</v>
      </c>
      <c r="CG31" s="4">
        <v>4.9000000000000004</v>
      </c>
      <c r="CH31" s="4">
        <v>5.2</v>
      </c>
      <c r="CI31" s="5">
        <v>5.5</v>
      </c>
      <c r="CJ31" s="4">
        <v>5.9</v>
      </c>
      <c r="CK31" s="4">
        <v>6.3</v>
      </c>
      <c r="CL31" s="4">
        <v>6.8</v>
      </c>
    </row>
    <row r="32" spans="1:97" x14ac:dyDescent="0.25">
      <c r="A32" s="41"/>
      <c r="B32" s="41"/>
      <c r="C32" s="41"/>
      <c r="D32" s="41"/>
      <c r="E32" s="41"/>
      <c r="F32" s="38"/>
      <c r="G32" s="31"/>
      <c r="H32" s="55"/>
      <c r="I32" s="58">
        <f>IFERROR(IF(AND($D$15&lt;&gt;"",MAX($I$30:I31)&lt;$D$15)=TRUE,I31+IF($AN$7=1,1,IF($AN$7=2,0.5,"")),""),"")</f>
        <v>81</v>
      </c>
      <c r="J32" s="59">
        <f t="shared" ca="1" si="22"/>
        <v>5.6</v>
      </c>
      <c r="K32" s="55"/>
      <c r="L32" s="58">
        <f>IFERROR(IF(AND($D$15&lt;&gt;"",MAX($L$30:L31)&lt;$D$15)=TRUE,L31+IF($AN$7=1,1,IF($AN$7=2,0.5,"")),""),"")</f>
        <v>86</v>
      </c>
      <c r="M32" s="59">
        <f t="shared" ca="1" si="23"/>
        <v>6</v>
      </c>
      <c r="N32" s="55"/>
      <c r="O32" s="58">
        <f>IFERROR(IF(AND($D$15&lt;&gt;"",MAX($O$30:O31)&lt;$D$15)=TRUE,O31+IF($AN$7=1,1,IF($AN$7=2,0.5,"")),""),"")</f>
        <v>91</v>
      </c>
      <c r="P32" s="59">
        <f t="shared" ca="1" si="24"/>
        <v>6.3</v>
      </c>
      <c r="Q32" s="55"/>
      <c r="R32" s="58">
        <f>IFERROR(IF(AND($D$15&lt;&gt;"",MAX($R$30:R31)&lt;$D$15)=TRUE,R31+IF($AN$7=1,1,IF($AN$7=2,0.5,"")),""),"")</f>
        <v>96</v>
      </c>
      <c r="S32" s="59">
        <f t="shared" ca="1" si="25"/>
        <v>6.7</v>
      </c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32"/>
      <c r="AK32" s="24">
        <f>IF(AND($D$15&lt;&gt;"",MAX($AK$9:AK31)&lt;$D$15)=TRUE,AK31+0.5,"")</f>
        <v>11.5</v>
      </c>
      <c r="AL32" s="25">
        <f t="shared" ca="1" si="9"/>
        <v>1.6</v>
      </c>
      <c r="AN32" s="25">
        <f t="shared" ca="1" si="10"/>
        <v>1.6</v>
      </c>
      <c r="AO32" s="25">
        <f t="shared" ca="1" si="11"/>
        <v>1.7</v>
      </c>
      <c r="AP32" s="25">
        <f t="shared" ca="1" si="12"/>
        <v>-1.3</v>
      </c>
      <c r="AR32" s="24">
        <v>-1.7</v>
      </c>
      <c r="AS32" s="24">
        <v>1.22038</v>
      </c>
      <c r="AU32" s="25">
        <f t="shared" ca="1" si="13"/>
        <v>1.5</v>
      </c>
      <c r="BT32" s="4">
        <v>32</v>
      </c>
      <c r="BU32" s="4">
        <v>15</v>
      </c>
      <c r="BV32" s="4">
        <f t="shared" si="0"/>
        <v>1.8</v>
      </c>
      <c r="BW32" s="4">
        <v>15</v>
      </c>
      <c r="BX32" s="4">
        <v>3.6</v>
      </c>
      <c r="BY32" s="4">
        <v>3.7</v>
      </c>
      <c r="BZ32" s="4">
        <v>3.8</v>
      </c>
      <c r="CA32" s="4">
        <v>3.9</v>
      </c>
      <c r="CB32" s="4">
        <v>4</v>
      </c>
      <c r="CC32" s="4">
        <v>4.2</v>
      </c>
      <c r="CD32" s="4">
        <v>4.4000000000000004</v>
      </c>
      <c r="CE32" s="4">
        <v>4.5999999999999996</v>
      </c>
      <c r="CF32" s="4">
        <v>4.9000000000000004</v>
      </c>
      <c r="CG32" s="4">
        <v>5.0999999999999996</v>
      </c>
      <c r="CH32" s="4">
        <v>5.4</v>
      </c>
      <c r="CI32" s="5">
        <v>5.8</v>
      </c>
      <c r="CJ32" s="4">
        <v>6.1</v>
      </c>
      <c r="CK32" s="4">
        <v>6.5</v>
      </c>
      <c r="CL32" s="4">
        <v>7</v>
      </c>
    </row>
    <row r="33" spans="1:89" x14ac:dyDescent="0.25">
      <c r="A33" s="41"/>
      <c r="B33" s="41"/>
      <c r="C33" s="41"/>
      <c r="D33" s="41"/>
      <c r="E33" s="41"/>
      <c r="F33" s="38"/>
      <c r="G33" s="31"/>
      <c r="H33" s="55"/>
      <c r="I33" s="58">
        <f>IFERROR(IF(AND($D$15&lt;&gt;"",MAX($I$30:I32)&lt;$D$15)=TRUE,I32+IF($AN$7=1,1,IF($AN$7=2,0.5,"")),""),"")</f>
        <v>81.5</v>
      </c>
      <c r="J33" s="59">
        <f t="shared" ca="1" si="22"/>
        <v>5.6</v>
      </c>
      <c r="K33" s="55"/>
      <c r="L33" s="58">
        <f>IFERROR(IF(AND($D$15&lt;&gt;"",MAX($L$30:L32)&lt;$D$15)=TRUE,L32+IF($AN$7=1,1,IF($AN$7=2,0.5,"")),""),"")</f>
        <v>86.5</v>
      </c>
      <c r="M33" s="59">
        <f t="shared" ca="1" si="23"/>
        <v>6</v>
      </c>
      <c r="N33" s="55"/>
      <c r="O33" s="58">
        <f>IFERROR(IF(AND($D$15&lt;&gt;"",MAX($O$30:O32)&lt;$D$15)=TRUE,O32+IF($AN$7=1,1,IF($AN$7=2,0.5,"")),""),"")</f>
        <v>91.5</v>
      </c>
      <c r="P33" s="59">
        <f t="shared" ca="1" si="24"/>
        <v>6.4</v>
      </c>
      <c r="Q33" s="55"/>
      <c r="R33" s="58">
        <f>IFERROR(IF(AND($D$15&lt;&gt;"",MAX($R$30:R32)&lt;$D$15)=TRUE,R32+IF($AN$7=1,1,IF($AN$7=2,0.5,"")),""),"")</f>
        <v>96.5</v>
      </c>
      <c r="S33" s="59">
        <f t="shared" ca="1" si="25"/>
        <v>6.7</v>
      </c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32"/>
      <c r="AK33" s="24">
        <f>IF(AND($D$15&lt;&gt;"",MAX($AK$9:AK32)&lt;$D$15)=TRUE,AK32+0.5,"")</f>
        <v>12</v>
      </c>
      <c r="AL33" s="25">
        <f t="shared" ca="1" si="9"/>
        <v>1.6</v>
      </c>
      <c r="AN33" s="25">
        <f t="shared" ca="1" si="10"/>
        <v>1.6</v>
      </c>
      <c r="AO33" s="25">
        <f t="shared" ca="1" si="11"/>
        <v>1.7</v>
      </c>
      <c r="AP33" s="25">
        <f t="shared" ca="1" si="12"/>
        <v>-1.3</v>
      </c>
      <c r="AR33" s="24">
        <v>-1.6</v>
      </c>
      <c r="AS33" s="26">
        <v>1.2730600000000001</v>
      </c>
      <c r="AU33" s="25">
        <f t="shared" ca="1" si="13"/>
        <v>1.5</v>
      </c>
      <c r="BT33" s="4">
        <v>33</v>
      </c>
      <c r="BU33" s="4">
        <v>15.5</v>
      </c>
      <c r="BV33" s="4">
        <f t="shared" si="0"/>
        <v>1.9</v>
      </c>
      <c r="BW33" s="4">
        <v>15.5</v>
      </c>
      <c r="BX33" s="4">
        <v>3.7</v>
      </c>
      <c r="BY33" s="4">
        <v>3.8</v>
      </c>
      <c r="BZ33" s="4">
        <v>3.9</v>
      </c>
      <c r="CA33" s="4">
        <v>4</v>
      </c>
      <c r="CB33" s="4">
        <v>4.2</v>
      </c>
      <c r="CC33" s="4">
        <v>4.3</v>
      </c>
      <c r="CD33" s="4">
        <v>4.5999999999999996</v>
      </c>
      <c r="CE33" s="4">
        <v>4.8</v>
      </c>
      <c r="CF33" s="4">
        <v>5</v>
      </c>
      <c r="CG33" s="4">
        <v>5.3</v>
      </c>
      <c r="CH33" s="4">
        <v>5.6</v>
      </c>
      <c r="CI33" s="5">
        <v>6</v>
      </c>
      <c r="CJ33" s="4">
        <v>6.3</v>
      </c>
      <c r="CK33" s="4">
        <v>6.8</v>
      </c>
    </row>
    <row r="34" spans="1:89" x14ac:dyDescent="0.25">
      <c r="A34" s="41"/>
      <c r="B34" s="41"/>
      <c r="C34" s="41"/>
      <c r="D34" s="41"/>
      <c r="E34" s="41"/>
      <c r="F34" s="38"/>
      <c r="G34" s="31"/>
      <c r="H34" s="55"/>
      <c r="I34" s="58">
        <f>IFERROR(IF(AND($D$15&lt;&gt;"",MAX($I$30:I33)&lt;$D$15)=TRUE,I33+IF($AN$7=1,1,IF($AN$7=2,0.5,"")),""),"")</f>
        <v>82</v>
      </c>
      <c r="J34" s="59">
        <f t="shared" ca="1" si="22"/>
        <v>5.7</v>
      </c>
      <c r="K34" s="55"/>
      <c r="L34" s="58">
        <f>IFERROR(IF(AND($D$15&lt;&gt;"",MAX($L$30:L33)&lt;$D$15)=TRUE,L33+IF($AN$7=1,1,IF($AN$7=2,0.5,"")),""),"")</f>
        <v>87</v>
      </c>
      <c r="M34" s="59">
        <f t="shared" ca="1" si="23"/>
        <v>6</v>
      </c>
      <c r="N34" s="55"/>
      <c r="O34" s="58">
        <f>IFERROR(IF(AND($D$15&lt;&gt;"",MAX($O$30:O33)&lt;$D$15)=TRUE,O33+IF($AN$7=1,1,IF($AN$7=2,0.5,"")),""),"")</f>
        <v>92</v>
      </c>
      <c r="P34" s="59">
        <f t="shared" ca="1" si="24"/>
        <v>6.4</v>
      </c>
      <c r="Q34" s="55"/>
      <c r="R34" s="58">
        <f>IFERROR(IF(AND($D$15&lt;&gt;"",MAX($R$30:R33)&lt;$D$15)=TRUE,R33+IF($AN$7=1,1,IF($AN$7=2,0.5,"")),""),"")</f>
        <v>97</v>
      </c>
      <c r="S34" s="59">
        <f t="shared" ca="1" si="25"/>
        <v>6.8</v>
      </c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32"/>
      <c r="AK34" s="24">
        <f>IF(AND($D$15&lt;&gt;"",MAX($AK$9:AK33)&lt;$D$15)=TRUE,AK33+0.5,"")</f>
        <v>12.5</v>
      </c>
      <c r="AL34" s="25">
        <f t="shared" ca="1" si="9"/>
        <v>1.6</v>
      </c>
      <c r="AN34" s="25">
        <f t="shared" ca="1" si="10"/>
        <v>1.6</v>
      </c>
      <c r="AO34" s="25">
        <f t="shared" ca="1" si="11"/>
        <v>1.8</v>
      </c>
      <c r="AP34" s="25">
        <f t="shared" ca="1" si="12"/>
        <v>-1.3</v>
      </c>
      <c r="AR34" s="24">
        <v>-1.5</v>
      </c>
      <c r="AS34" s="24">
        <v>1.33552</v>
      </c>
      <c r="AU34" s="25">
        <f t="shared" ca="1" si="13"/>
        <v>1.5</v>
      </c>
      <c r="BT34" s="4">
        <v>34</v>
      </c>
      <c r="BU34" s="4">
        <v>16</v>
      </c>
      <c r="BV34" s="4">
        <f t="shared" si="0"/>
        <v>1.9</v>
      </c>
      <c r="BW34" s="4">
        <v>16</v>
      </c>
      <c r="BX34" s="4">
        <v>3.8</v>
      </c>
      <c r="BY34" s="4">
        <v>3.9</v>
      </c>
      <c r="BZ34" s="4">
        <v>4</v>
      </c>
      <c r="CA34" s="4">
        <v>4.0999999999999996</v>
      </c>
      <c r="CB34" s="4">
        <v>4.3</v>
      </c>
      <c r="CC34" s="4">
        <v>4.5</v>
      </c>
      <c r="CD34" s="4">
        <v>4.7</v>
      </c>
      <c r="CE34" s="4">
        <v>5</v>
      </c>
      <c r="CF34" s="4">
        <v>5.2</v>
      </c>
      <c r="CG34" s="4">
        <v>5.5</v>
      </c>
      <c r="CH34" s="4">
        <v>5.8</v>
      </c>
      <c r="CI34" s="5">
        <v>6.2</v>
      </c>
      <c r="CJ34" s="4">
        <v>6.6</v>
      </c>
      <c r="CK34" s="4">
        <v>7</v>
      </c>
    </row>
    <row r="35" spans="1:89" x14ac:dyDescent="0.25">
      <c r="A35" s="41"/>
      <c r="B35" s="41"/>
      <c r="C35" s="41"/>
      <c r="D35" s="41"/>
      <c r="E35" s="41"/>
      <c r="F35" s="38"/>
      <c r="G35" s="31"/>
      <c r="H35" s="55"/>
      <c r="I35" s="58">
        <f>IFERROR(IF(AND($D$15&lt;&gt;"",MAX($I$30:I34)&lt;$D$15)=TRUE,I34+IF($AN$7=1,1,IF($AN$7=2,0.5,"")),""),"")</f>
        <v>82.5</v>
      </c>
      <c r="J35" s="59">
        <f t="shared" ca="1" si="22"/>
        <v>5.7</v>
      </c>
      <c r="K35" s="55"/>
      <c r="L35" s="58">
        <f>IFERROR(IF(AND($D$15&lt;&gt;"",MAX($L$30:L34)&lt;$D$15)=TRUE,L34+IF($AN$7=1,1,IF($AN$7=2,0.5,"")),""),"")</f>
        <v>87.5</v>
      </c>
      <c r="M35" s="59">
        <f t="shared" ca="1" si="23"/>
        <v>6.1</v>
      </c>
      <c r="N35" s="55"/>
      <c r="O35" s="58">
        <f>IFERROR(IF(AND($D$15&lt;&gt;"",MAX($O$30:O34)&lt;$D$15)=TRUE,O34+IF($AN$7=1,1,IF($AN$7=2,0.5,"")),""),"")</f>
        <v>92.5</v>
      </c>
      <c r="P35" s="59">
        <f t="shared" ca="1" si="24"/>
        <v>6.4</v>
      </c>
      <c r="Q35" s="55"/>
      <c r="R35" s="58">
        <f>IFERROR(IF(AND($D$15&lt;&gt;"",MAX($R$30:R34)&lt;$D$15)=TRUE,R34+IF($AN$7=1,1,IF($AN$7=2,0.5,"")),""),"")</f>
        <v>97.5</v>
      </c>
      <c r="S35" s="59">
        <f t="shared" ca="1" si="25"/>
        <v>6.8</v>
      </c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32"/>
      <c r="AK35" s="24">
        <f>IF(AND($D$15&lt;&gt;"",MAX($AK$9:AK34)&lt;$D$15)=TRUE,AK34+0.5,"")</f>
        <v>13</v>
      </c>
      <c r="AL35" s="25">
        <f t="shared" ca="1" si="9"/>
        <v>1.7</v>
      </c>
      <c r="AN35" s="25">
        <f t="shared" ca="1" si="10"/>
        <v>1.7</v>
      </c>
      <c r="AO35" s="25">
        <f t="shared" ca="1" si="11"/>
        <v>1.8</v>
      </c>
      <c r="AP35" s="25">
        <f t="shared" ca="1" si="12"/>
        <v>-1.3</v>
      </c>
      <c r="AR35" s="24">
        <v>-1.4</v>
      </c>
      <c r="AS35" s="24">
        <v>1.40866</v>
      </c>
      <c r="AU35" s="25">
        <f t="shared" ca="1" si="13"/>
        <v>1.5</v>
      </c>
      <c r="BT35" s="4">
        <v>35</v>
      </c>
      <c r="BU35" s="4">
        <v>16.5</v>
      </c>
      <c r="BV35" s="4">
        <f t="shared" si="0"/>
        <v>1.9</v>
      </c>
      <c r="BW35" s="4">
        <v>16.5</v>
      </c>
      <c r="BX35" s="4">
        <v>3.8</v>
      </c>
      <c r="BY35" s="4">
        <v>3.9</v>
      </c>
      <c r="BZ35" s="4">
        <v>4.0999999999999996</v>
      </c>
      <c r="CA35" s="4">
        <v>4.3</v>
      </c>
      <c r="CB35" s="4">
        <v>4.5</v>
      </c>
      <c r="CC35" s="4">
        <v>4.7</v>
      </c>
      <c r="CD35" s="4">
        <v>4.9000000000000004</v>
      </c>
      <c r="CE35" s="4">
        <v>5.0999999999999996</v>
      </c>
      <c r="CF35" s="4">
        <v>5.4</v>
      </c>
      <c r="CG35" s="4">
        <v>5.7</v>
      </c>
      <c r="CH35" s="4">
        <v>6</v>
      </c>
      <c r="CI35" s="5">
        <v>6.4</v>
      </c>
      <c r="CJ35" s="4">
        <v>6.8</v>
      </c>
    </row>
    <row r="36" spans="1:89" x14ac:dyDescent="0.25">
      <c r="A36" s="41"/>
      <c r="B36" s="41"/>
      <c r="C36" s="41"/>
      <c r="D36" s="41"/>
      <c r="E36" s="41"/>
      <c r="F36" s="38"/>
      <c r="G36" s="31"/>
      <c r="H36" s="55"/>
      <c r="I36" s="58">
        <f>IFERROR(IF(AND($D$15&lt;&gt;"",MAX($I$30:I35)&lt;$D$15)=TRUE,I35+IF($AN$7=1,1,IF($AN$7=2,0.5,"")),""),"")</f>
        <v>83</v>
      </c>
      <c r="J36" s="59">
        <f t="shared" ca="1" si="22"/>
        <v>5.7</v>
      </c>
      <c r="K36" s="55"/>
      <c r="L36" s="58">
        <f>IFERROR(IF(AND($D$15&lt;&gt;"",MAX($L$30:L35)&lt;$D$15)=TRUE,L35+IF($AN$7=1,1,IF($AN$7=2,0.5,"")),""),"")</f>
        <v>88</v>
      </c>
      <c r="M36" s="59">
        <f t="shared" ca="1" si="23"/>
        <v>6.1</v>
      </c>
      <c r="N36" s="55"/>
      <c r="O36" s="58">
        <f>IFERROR(IF(AND($D$15&lt;&gt;"",MAX($O$30:O35)&lt;$D$15)=TRUE,O35+IF($AN$7=1,1,IF($AN$7=2,0.5,"")),""),"")</f>
        <v>93</v>
      </c>
      <c r="P36" s="59">
        <f t="shared" ca="1" si="24"/>
        <v>6.5</v>
      </c>
      <c r="Q36" s="55"/>
      <c r="R36" s="58">
        <f>IFERROR(IF(AND($D$15&lt;&gt;"",MAX($R$30:R35)&lt;$D$15)=TRUE,R35+IF($AN$7=1,1,IF($AN$7=2,0.5,"")),""),"")</f>
        <v>98</v>
      </c>
      <c r="S36" s="59">
        <f t="shared" ca="1" si="25"/>
        <v>6.9</v>
      </c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32"/>
      <c r="AK36" s="24">
        <f>IF(AND($D$15&lt;&gt;"",MAX($AK$9:AK35)&lt;$D$15)=TRUE,AK35+0.5,"")</f>
        <v>13.5</v>
      </c>
      <c r="AL36" s="25">
        <f t="shared" ca="1" si="9"/>
        <v>1.7</v>
      </c>
      <c r="AN36" s="25">
        <f t="shared" ca="1" si="10"/>
        <v>1.7</v>
      </c>
      <c r="AO36" s="25">
        <f t="shared" ca="1" si="11"/>
        <v>1.8</v>
      </c>
      <c r="AP36" s="25">
        <f t="shared" ca="1" si="12"/>
        <v>-1.3</v>
      </c>
      <c r="AR36" s="24">
        <v>-1.3</v>
      </c>
      <c r="AS36" s="24">
        <v>1.49356</v>
      </c>
      <c r="AU36" s="25">
        <f t="shared" ca="1" si="13"/>
        <v>1.5</v>
      </c>
      <c r="BT36" s="4">
        <v>36</v>
      </c>
      <c r="BU36" s="4">
        <v>17</v>
      </c>
      <c r="BV36" s="4">
        <f t="shared" si="0"/>
        <v>1.9</v>
      </c>
      <c r="BW36" s="4">
        <v>17</v>
      </c>
      <c r="BX36" s="4">
        <v>3.9</v>
      </c>
      <c r="BY36" s="4">
        <v>4.0999999999999996</v>
      </c>
      <c r="BZ36" s="4">
        <v>4.2</v>
      </c>
      <c r="CA36" s="4">
        <v>4.4000000000000004</v>
      </c>
      <c r="CB36" s="4">
        <v>4.5999999999999996</v>
      </c>
      <c r="CC36" s="4">
        <v>4.8</v>
      </c>
      <c r="CD36" s="4">
        <v>5</v>
      </c>
      <c r="CE36" s="4">
        <v>5.3</v>
      </c>
      <c r="CF36" s="4">
        <v>5.6</v>
      </c>
      <c r="CG36" s="4">
        <v>5.9</v>
      </c>
      <c r="CH36" s="4">
        <v>6.2</v>
      </c>
      <c r="CI36" s="5">
        <v>6.6</v>
      </c>
      <c r="CJ36" s="4">
        <v>7</v>
      </c>
    </row>
    <row r="37" spans="1:89" x14ac:dyDescent="0.25">
      <c r="A37" s="41"/>
      <c r="B37" s="41"/>
      <c r="C37" s="41"/>
      <c r="D37" s="41"/>
      <c r="E37" s="41"/>
      <c r="F37" s="38"/>
      <c r="G37" s="31"/>
      <c r="H37" s="55"/>
      <c r="I37" s="58">
        <f>IFERROR(IF(AND($D$15&lt;&gt;"",MAX($I$30:I36)&lt;$D$15)=TRUE,I36+IF($AN$7=1,1,IF($AN$7=2,0.5,"")),""),"")</f>
        <v>83.5</v>
      </c>
      <c r="J37" s="59">
        <f t="shared" ca="1" si="22"/>
        <v>5.8</v>
      </c>
      <c r="K37" s="55"/>
      <c r="L37" s="58">
        <f>IFERROR(IF(AND($D$15&lt;&gt;"",MAX($L$30:L36)&lt;$D$15)=TRUE,L36+IF($AN$7=1,1,IF($AN$7=2,0.5,"")),""),"")</f>
        <v>88.5</v>
      </c>
      <c r="M37" s="59">
        <f t="shared" ca="1" si="23"/>
        <v>6.1</v>
      </c>
      <c r="N37" s="55"/>
      <c r="O37" s="58">
        <f>IFERROR(IF(AND($D$15&lt;&gt;"",MAX($O$30:O36)&lt;$D$15)=TRUE,O36+IF($AN$7=1,1,IF($AN$7=2,0.5,"")),""),"")</f>
        <v>93.5</v>
      </c>
      <c r="P37" s="59">
        <f t="shared" ca="1" si="24"/>
        <v>6.5</v>
      </c>
      <c r="Q37" s="55"/>
      <c r="R37" s="58">
        <f>IFERROR(IF(AND($D$15&lt;&gt;"",MAX($R$30:R36)&lt;$D$15)=TRUE,R36+IF($AN$7=1,1,IF($AN$7=2,0.5,"")),""),"")</f>
        <v>98.5</v>
      </c>
      <c r="S37" s="59">
        <f t="shared" ca="1" si="25"/>
        <v>6.9</v>
      </c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32"/>
      <c r="AK37" s="24">
        <f>IF(AND($D$15&lt;&gt;"",MAX($AK$9:AK36)&lt;$D$15)=TRUE,AK36+0.5,"")</f>
        <v>14</v>
      </c>
      <c r="AL37" s="25">
        <f t="shared" ca="1" si="9"/>
        <v>1.7</v>
      </c>
      <c r="AN37" s="25">
        <f t="shared" ca="1" si="10"/>
        <v>1.7</v>
      </c>
      <c r="AO37" s="25">
        <f t="shared" ca="1" si="11"/>
        <v>1.8</v>
      </c>
      <c r="AP37" s="25">
        <f t="shared" ca="1" si="12"/>
        <v>-1.3</v>
      </c>
      <c r="AR37" s="24">
        <v>-1.2</v>
      </c>
      <c r="AS37" s="24">
        <v>1.59118</v>
      </c>
      <c r="AU37" s="25">
        <f t="shared" ca="1" si="13"/>
        <v>1.5</v>
      </c>
      <c r="BT37" s="4">
        <v>37</v>
      </c>
      <c r="BU37" s="4">
        <v>17.5</v>
      </c>
      <c r="BV37" s="4">
        <f t="shared" si="0"/>
        <v>2</v>
      </c>
      <c r="BW37" s="4">
        <v>17.5</v>
      </c>
      <c r="BX37" s="4">
        <v>4</v>
      </c>
      <c r="BY37" s="4">
        <v>4.2</v>
      </c>
      <c r="BZ37" s="4">
        <v>4.4000000000000004</v>
      </c>
      <c r="CA37" s="4">
        <v>4.5</v>
      </c>
      <c r="CB37" s="4">
        <v>4.8</v>
      </c>
      <c r="CC37" s="4">
        <v>5</v>
      </c>
      <c r="CD37" s="4">
        <v>5.2</v>
      </c>
      <c r="CE37" s="4">
        <v>5.5</v>
      </c>
      <c r="CF37" s="4">
        <v>5.8</v>
      </c>
      <c r="CG37" s="4">
        <v>6.1</v>
      </c>
      <c r="CH37" s="4">
        <v>6.4</v>
      </c>
      <c r="CI37" s="5">
        <v>6.8</v>
      </c>
    </row>
    <row r="38" spans="1:89" x14ac:dyDescent="0.25">
      <c r="A38" s="41"/>
      <c r="B38" s="41"/>
      <c r="C38" s="41"/>
      <c r="D38" s="41"/>
      <c r="E38" s="41"/>
      <c r="F38" s="38"/>
      <c r="G38" s="31"/>
      <c r="H38" s="55"/>
      <c r="I38" s="58">
        <f>IFERROR(IF(AND($D$15&lt;&gt;"",MAX($I$30:I37)&lt;$D$15)=TRUE,I37+IF($AN$7=1,1,IF($AN$7=2,0.5,"")),""),"")</f>
        <v>84</v>
      </c>
      <c r="J38" s="59">
        <f t="shared" ca="1" si="22"/>
        <v>5.8</v>
      </c>
      <c r="K38" s="55"/>
      <c r="L38" s="58">
        <f>IFERROR(IF(AND($D$15&lt;&gt;"",MAX($L$30:L37)&lt;$D$15)=TRUE,L37+IF($AN$7=1,1,IF($AN$7=2,0.5,"")),""),"")</f>
        <v>89</v>
      </c>
      <c r="M38" s="59">
        <f t="shared" ca="1" si="23"/>
        <v>6.2</v>
      </c>
      <c r="N38" s="55"/>
      <c r="O38" s="58">
        <f>IFERROR(IF(AND($D$15&lt;&gt;"",MAX($O$30:O37)&lt;$D$15)=TRUE,O37+IF($AN$7=1,1,IF($AN$7=2,0.5,"")),""),"")</f>
        <v>94</v>
      </c>
      <c r="P38" s="59">
        <f t="shared" ca="1" si="24"/>
        <v>6.6</v>
      </c>
      <c r="Q38" s="55"/>
      <c r="R38" s="58">
        <f>IFERROR(IF(AND($D$15&lt;&gt;"",MAX($R$30:R37)&lt;$D$15)=TRUE,R37+IF($AN$7=1,1,IF($AN$7=2,0.5,"")),""),"")</f>
        <v>99</v>
      </c>
      <c r="S38" s="59">
        <f t="shared" ca="1" si="25"/>
        <v>6.9</v>
      </c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32"/>
      <c r="AK38" s="24">
        <f>IF(AND($D$15&lt;&gt;"",MAX($AK$9:AK37)&lt;$D$15)=TRUE,AK37+0.5,"")</f>
        <v>14.5</v>
      </c>
      <c r="AL38" s="25">
        <f t="shared" ca="1" si="9"/>
        <v>1.7</v>
      </c>
      <c r="AN38" s="25">
        <f t="shared" ca="1" si="10"/>
        <v>1.7</v>
      </c>
      <c r="AO38" s="25">
        <f t="shared" ca="1" si="11"/>
        <v>1.9</v>
      </c>
      <c r="AP38" s="25">
        <f t="shared" ca="1" si="12"/>
        <v>-1.2</v>
      </c>
      <c r="AR38" s="24">
        <v>-1.1000000000000001</v>
      </c>
      <c r="AS38" s="24">
        <v>1.7021199999999999</v>
      </c>
      <c r="AU38" s="25">
        <f t="shared" ca="1" si="13"/>
        <v>1.6</v>
      </c>
      <c r="BT38" s="4">
        <v>38</v>
      </c>
      <c r="BU38" s="4">
        <v>18</v>
      </c>
      <c r="BV38" s="4">
        <f t="shared" si="0"/>
        <v>2</v>
      </c>
      <c r="BW38" s="4">
        <v>18</v>
      </c>
      <c r="BX38" s="4">
        <v>4.2</v>
      </c>
      <c r="BY38" s="4">
        <v>4.3</v>
      </c>
      <c r="BZ38" s="4">
        <v>4.5</v>
      </c>
      <c r="CA38" s="4">
        <v>4.7</v>
      </c>
      <c r="CB38" s="4">
        <v>4.9000000000000004</v>
      </c>
      <c r="CC38" s="4">
        <v>5.0999999999999996</v>
      </c>
      <c r="CD38" s="4">
        <v>5.4</v>
      </c>
      <c r="CE38" s="4">
        <v>5.6</v>
      </c>
      <c r="CF38" s="4">
        <v>5.9</v>
      </c>
      <c r="CG38" s="4">
        <v>6.3</v>
      </c>
      <c r="CH38" s="4">
        <v>6.6</v>
      </c>
      <c r="CI38" s="5">
        <v>7</v>
      </c>
    </row>
    <row r="39" spans="1:89" x14ac:dyDescent="0.25">
      <c r="A39" s="41"/>
      <c r="B39" s="41"/>
      <c r="C39" s="41"/>
      <c r="D39" s="41"/>
      <c r="E39" s="41"/>
      <c r="F39" s="38"/>
      <c r="G39" s="31"/>
      <c r="H39" s="55"/>
      <c r="I39" s="58">
        <f>IFERROR(IF(AND($D$15&lt;&gt;"",MAX($I$30:I38)&lt;$D$15)=TRUE,I38+IF($AN$7=1,1,IF($AN$7=2,0.5,"")),""),"")</f>
        <v>84.5</v>
      </c>
      <c r="J39" s="59">
        <f t="shared" ca="1" si="22"/>
        <v>5.8</v>
      </c>
      <c r="K39" s="55"/>
      <c r="L39" s="58">
        <f>IFERROR(IF(AND($D$15&lt;&gt;"",MAX($L$30:L38)&lt;$D$15)=TRUE,L38+IF($AN$7=1,1,IF($AN$7=2,0.5,"")),""),"")</f>
        <v>89.5</v>
      </c>
      <c r="M39" s="59">
        <f t="shared" ca="1" si="23"/>
        <v>6.2</v>
      </c>
      <c r="N39" s="55"/>
      <c r="O39" s="58">
        <f>IFERROR(IF(AND($D$15&lt;&gt;"",MAX($O$30:O38)&lt;$D$15)=TRUE,O38+IF($AN$7=1,1,IF($AN$7=2,0.5,"")),""),"")</f>
        <v>94.5</v>
      </c>
      <c r="P39" s="59">
        <f t="shared" ca="1" si="24"/>
        <v>6.6</v>
      </c>
      <c r="Q39" s="55"/>
      <c r="R39" s="58">
        <f>IFERROR(IF(AND($D$15&lt;&gt;"",MAX($R$30:R38)&lt;$D$15)=TRUE,R38+IF($AN$7=1,1,IF($AN$7=2,0.5,"")),""),"")</f>
        <v>99.5</v>
      </c>
      <c r="S39" s="59">
        <f t="shared" ca="1" si="25"/>
        <v>7</v>
      </c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32"/>
      <c r="AK39" s="24">
        <f>IF(AND($D$15&lt;&gt;"",MAX($AK$9:AK38)&lt;$D$15)=TRUE,AK38+0.5,"")</f>
        <v>15</v>
      </c>
      <c r="AL39" s="25">
        <f t="shared" ca="1" si="9"/>
        <v>1.8</v>
      </c>
      <c r="AN39" s="25">
        <f t="shared" ca="1" si="10"/>
        <v>1.8</v>
      </c>
      <c r="AO39" s="25">
        <f t="shared" ca="1" si="11"/>
        <v>1.9</v>
      </c>
      <c r="AP39" s="25">
        <f t="shared" ca="1" si="12"/>
        <v>-1.2</v>
      </c>
      <c r="AR39" s="24">
        <v>-1</v>
      </c>
      <c r="AS39" s="24">
        <v>1.8271600000000001</v>
      </c>
      <c r="AU39" s="25">
        <f t="shared" ca="1" si="13"/>
        <v>1.6</v>
      </c>
      <c r="BT39" s="4">
        <v>39</v>
      </c>
      <c r="BU39" s="4">
        <v>18.5</v>
      </c>
      <c r="BV39" s="4">
        <f t="shared" si="0"/>
        <v>2</v>
      </c>
      <c r="BW39" s="4">
        <v>18.5</v>
      </c>
      <c r="BX39" s="4">
        <v>4.3</v>
      </c>
      <c r="BY39" s="4">
        <v>4.5</v>
      </c>
      <c r="BZ39" s="4">
        <v>4.5999999999999996</v>
      </c>
      <c r="CA39" s="4">
        <v>4.8</v>
      </c>
      <c r="CB39" s="4">
        <v>5.0999999999999996</v>
      </c>
      <c r="CC39" s="4">
        <v>5.3</v>
      </c>
      <c r="CD39" s="4">
        <v>5.5</v>
      </c>
      <c r="CE39" s="4">
        <v>5.8</v>
      </c>
      <c r="CF39" s="4">
        <v>6.1</v>
      </c>
      <c r="CG39" s="4">
        <v>6.4</v>
      </c>
      <c r="CH39" s="4">
        <v>6.8</v>
      </c>
      <c r="CI39" s="5"/>
    </row>
    <row r="40" spans="1:89" x14ac:dyDescent="0.25">
      <c r="A40" s="41"/>
      <c r="B40" s="41"/>
      <c r="C40" s="41"/>
      <c r="D40" s="41"/>
      <c r="E40" s="41"/>
      <c r="F40" s="38"/>
      <c r="G40" s="31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7">
        <f>IFERROR(IF(AND($D$15&lt;&gt;"",MAX($R$30:R39)&lt;$D$15)=TRUE,R39+IF($AN$7=1,1,IF($AN$7=2,0.5,"")),""),"")</f>
        <v>100</v>
      </c>
      <c r="S40" s="57">
        <f ca="1">IF(R40&gt;$D$15,"",VLOOKUP(R40,$AK$9:$AL$500,2,FALSE))</f>
        <v>7</v>
      </c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32"/>
      <c r="AK40" s="24">
        <f>IF(AND($D$15&lt;&gt;"",MAX($AK$9:AK39)&lt;$D$15)=TRUE,AK39+0.5,"")</f>
        <v>15.5</v>
      </c>
      <c r="AL40" s="25">
        <f t="shared" ca="1" si="9"/>
        <v>1.8</v>
      </c>
      <c r="AN40" s="25">
        <f t="shared" ca="1" si="10"/>
        <v>1.8</v>
      </c>
      <c r="AO40" s="25">
        <f t="shared" ca="1" si="11"/>
        <v>1.9</v>
      </c>
      <c r="AP40" s="25">
        <f t="shared" ca="1" si="12"/>
        <v>-1.2</v>
      </c>
      <c r="AR40" s="24">
        <v>-0.9</v>
      </c>
      <c r="AS40" s="24">
        <v>1.9665400000000002</v>
      </c>
      <c r="AU40" s="25">
        <f t="shared" ca="1" si="13"/>
        <v>1.6</v>
      </c>
      <c r="BT40" s="4">
        <v>40</v>
      </c>
      <c r="BU40" s="4">
        <v>19</v>
      </c>
      <c r="BV40" s="4">
        <f t="shared" si="0"/>
        <v>2.1</v>
      </c>
      <c r="BW40" s="4">
        <v>19</v>
      </c>
      <c r="BX40" s="4">
        <v>4.4000000000000004</v>
      </c>
      <c r="BY40" s="4">
        <v>4.5999999999999996</v>
      </c>
      <c r="BZ40" s="4">
        <v>4.8</v>
      </c>
      <c r="CA40" s="4">
        <v>5</v>
      </c>
      <c r="CB40" s="4">
        <v>5.2</v>
      </c>
      <c r="CC40" s="4">
        <v>5.4</v>
      </c>
      <c r="CD40" s="4">
        <v>5.7</v>
      </c>
      <c r="CE40" s="4">
        <v>6</v>
      </c>
      <c r="CF40" s="4">
        <v>6.3</v>
      </c>
      <c r="CG40" s="4">
        <v>6.6</v>
      </c>
      <c r="CH40" s="4">
        <v>7</v>
      </c>
      <c r="CI40" s="5"/>
    </row>
    <row r="41" spans="1:89" x14ac:dyDescent="0.25">
      <c r="A41" s="41"/>
      <c r="B41" s="41"/>
      <c r="C41" s="41"/>
      <c r="D41" s="41"/>
      <c r="E41" s="41"/>
      <c r="F41" s="38"/>
      <c r="G41" s="31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32"/>
      <c r="AK41" s="24">
        <f>IF(AND($D$15&lt;&gt;"",MAX($AK$9:AK40)&lt;$D$15)=TRUE,AK40+0.5,"")</f>
        <v>16</v>
      </c>
      <c r="AL41" s="25">
        <f t="shared" ca="1" si="9"/>
        <v>1.8</v>
      </c>
      <c r="AN41" s="25">
        <f t="shared" ca="1" si="10"/>
        <v>1.8</v>
      </c>
      <c r="AO41" s="25">
        <f t="shared" ca="1" si="11"/>
        <v>2</v>
      </c>
      <c r="AP41" s="25">
        <f t="shared" ca="1" si="12"/>
        <v>-1.1000000000000001</v>
      </c>
      <c r="AR41" s="24">
        <v>-0.8</v>
      </c>
      <c r="AS41" s="24">
        <v>2.1203799999999999</v>
      </c>
      <c r="AU41" s="25">
        <f t="shared" ca="1" si="13"/>
        <v>1.7</v>
      </c>
      <c r="BT41" s="4">
        <v>41</v>
      </c>
      <c r="BU41" s="4">
        <v>19.5</v>
      </c>
      <c r="BV41" s="4">
        <f t="shared" si="0"/>
        <v>2.1</v>
      </c>
      <c r="BW41" s="4">
        <v>19.5</v>
      </c>
      <c r="BX41" s="4">
        <v>4.5</v>
      </c>
      <c r="BY41" s="4">
        <v>4.7</v>
      </c>
      <c r="BZ41" s="4">
        <v>4.9000000000000004</v>
      </c>
      <c r="CA41" s="4">
        <v>5.0999999999999996</v>
      </c>
      <c r="CB41" s="4">
        <v>5.4</v>
      </c>
      <c r="CC41" s="4">
        <v>5.6</v>
      </c>
      <c r="CD41" s="4">
        <v>5.9</v>
      </c>
      <c r="CE41" s="4">
        <v>6.1</v>
      </c>
      <c r="CF41" s="4">
        <v>6.5</v>
      </c>
      <c r="CG41" s="4">
        <v>6.8</v>
      </c>
    </row>
    <row r="42" spans="1:89" x14ac:dyDescent="0.25">
      <c r="A42" s="41"/>
      <c r="B42" s="41"/>
      <c r="C42" s="41"/>
      <c r="D42" s="41"/>
      <c r="E42" s="41"/>
      <c r="F42" s="38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2"/>
      <c r="AK42" s="24">
        <f>IF(AND($D$15&lt;&gt;"",MAX($AK$9:AK41)&lt;$D$15)=TRUE,AK41+0.5,"")</f>
        <v>16.5</v>
      </c>
      <c r="AL42" s="25">
        <f t="shared" ca="1" si="9"/>
        <v>1.8</v>
      </c>
      <c r="AN42" s="25">
        <f t="shared" ca="1" si="10"/>
        <v>1.8</v>
      </c>
      <c r="AO42" s="25">
        <f t="shared" ca="1" si="11"/>
        <v>2</v>
      </c>
      <c r="AP42" s="25">
        <f t="shared" ca="1" si="12"/>
        <v>-1.1000000000000001</v>
      </c>
      <c r="AR42" s="24">
        <v>-0.7</v>
      </c>
      <c r="AS42" s="24">
        <v>2.2885599999999999</v>
      </c>
      <c r="AU42" s="25">
        <f t="shared" ca="1" si="13"/>
        <v>1.7</v>
      </c>
      <c r="BT42" s="4">
        <v>42</v>
      </c>
      <c r="BU42" s="4">
        <v>20</v>
      </c>
      <c r="BV42" s="4">
        <f t="shared" si="0"/>
        <v>2.1</v>
      </c>
      <c r="BW42" s="4">
        <v>20</v>
      </c>
      <c r="BX42" s="4">
        <v>4.7</v>
      </c>
      <c r="BY42" s="4">
        <v>4.9000000000000004</v>
      </c>
      <c r="BZ42" s="4">
        <v>5.0999999999999996</v>
      </c>
      <c r="CA42" s="4">
        <v>5.3</v>
      </c>
      <c r="CB42" s="4">
        <v>5.5</v>
      </c>
      <c r="CC42" s="4">
        <v>5.8</v>
      </c>
      <c r="CD42" s="4">
        <v>6</v>
      </c>
      <c r="CE42" s="4">
        <v>6.3</v>
      </c>
      <c r="CF42" s="4">
        <v>6.6</v>
      </c>
      <c r="CG42" s="4">
        <v>7</v>
      </c>
    </row>
    <row r="43" spans="1:89" hidden="1" x14ac:dyDescent="0.25">
      <c r="AK43" s="24">
        <f>IF(AND($D$15&lt;&gt;"",MAX($AK$9:AK42)&lt;$D$15)=TRUE,AK42+0.5,"")</f>
        <v>17</v>
      </c>
      <c r="AL43" s="25">
        <f t="shared" ca="1" si="9"/>
        <v>1.9</v>
      </c>
      <c r="AN43" s="25">
        <f t="shared" ca="1" si="10"/>
        <v>1.9</v>
      </c>
      <c r="AO43" s="25">
        <f t="shared" ca="1" si="11"/>
        <v>2</v>
      </c>
      <c r="AP43" s="25">
        <f t="shared" ca="1" si="12"/>
        <v>-1.1000000000000001</v>
      </c>
      <c r="AR43" s="24">
        <v>-0.6</v>
      </c>
      <c r="AS43" s="24">
        <v>2.4706000000000001</v>
      </c>
      <c r="AU43" s="25">
        <f t="shared" ca="1" si="13"/>
        <v>1.7</v>
      </c>
      <c r="BT43" s="4">
        <v>43</v>
      </c>
      <c r="BU43" s="4">
        <v>20.5</v>
      </c>
      <c r="BV43" s="4">
        <f t="shared" si="0"/>
        <v>2.1</v>
      </c>
      <c r="BW43" s="4">
        <v>20.5</v>
      </c>
      <c r="BX43" s="4">
        <v>4.8</v>
      </c>
      <c r="BY43" s="4">
        <v>5</v>
      </c>
      <c r="BZ43" s="4">
        <v>5.2</v>
      </c>
      <c r="CA43" s="4">
        <v>5.4</v>
      </c>
      <c r="CB43" s="4">
        <v>5.7</v>
      </c>
      <c r="CC43" s="4">
        <v>5.9</v>
      </c>
      <c r="CD43" s="4">
        <v>6.2</v>
      </c>
      <c r="CE43" s="4">
        <v>6.5</v>
      </c>
      <c r="CF43" s="4">
        <v>6.8</v>
      </c>
    </row>
    <row r="44" spans="1:89" hidden="1" x14ac:dyDescent="0.25">
      <c r="AK44" s="24">
        <f>IF(AND($D$15&lt;&gt;"",MAX($AK$9:AK43)&lt;$D$15)=TRUE,AK43+0.5,"")</f>
        <v>17.5</v>
      </c>
      <c r="AL44" s="25">
        <f t="shared" ca="1" si="9"/>
        <v>1.9</v>
      </c>
      <c r="AN44" s="25">
        <f t="shared" ca="1" si="10"/>
        <v>1.9</v>
      </c>
      <c r="AO44" s="25">
        <f t="shared" ca="1" si="11"/>
        <v>2.1</v>
      </c>
      <c r="AP44" s="25">
        <f t="shared" ca="1" si="12"/>
        <v>-1.1000000000000001</v>
      </c>
      <c r="AR44" s="24">
        <v>-0.5</v>
      </c>
      <c r="AS44" s="24">
        <v>2.6656</v>
      </c>
      <c r="AU44" s="25">
        <f t="shared" ca="1" si="13"/>
        <v>1.7</v>
      </c>
      <c r="BT44" s="4">
        <v>44</v>
      </c>
      <c r="BU44" s="4">
        <v>21</v>
      </c>
      <c r="BV44" s="4">
        <f t="shared" si="0"/>
        <v>2.2000000000000002</v>
      </c>
      <c r="BW44" s="4">
        <v>21</v>
      </c>
      <c r="BX44" s="4">
        <v>4.9000000000000004</v>
      </c>
      <c r="BY44" s="4">
        <v>5.0999999999999996</v>
      </c>
      <c r="BZ44" s="4">
        <v>5.3</v>
      </c>
      <c r="CA44" s="4">
        <v>5.6</v>
      </c>
      <c r="CB44" s="4">
        <v>5.8</v>
      </c>
      <c r="CC44" s="4">
        <v>6.1</v>
      </c>
      <c r="CD44" s="4">
        <v>6.3</v>
      </c>
      <c r="CE44" s="4">
        <v>6.7</v>
      </c>
      <c r="CF44" s="4">
        <v>7</v>
      </c>
    </row>
    <row r="45" spans="1:89" hidden="1" x14ac:dyDescent="0.25">
      <c r="AK45" s="24">
        <f>IF(AND($D$15&lt;&gt;"",MAX($AK$9:AK44)&lt;$D$15)=TRUE,AK44+0.5,"")</f>
        <v>18</v>
      </c>
      <c r="AL45" s="25">
        <f t="shared" ca="1" si="9"/>
        <v>1.9</v>
      </c>
      <c r="AN45" s="25">
        <f t="shared" ca="1" si="10"/>
        <v>1.9</v>
      </c>
      <c r="AO45" s="25">
        <f t="shared" ca="1" si="11"/>
        <v>2.1</v>
      </c>
      <c r="AP45" s="25">
        <f t="shared" ca="1" si="12"/>
        <v>-1.1000000000000001</v>
      </c>
      <c r="AR45" s="24">
        <v>-0.4</v>
      </c>
      <c r="AS45" s="24">
        <v>2.87242</v>
      </c>
      <c r="AU45" s="25">
        <f t="shared" ca="1" si="13"/>
        <v>1.7</v>
      </c>
      <c r="BT45" s="4">
        <v>45</v>
      </c>
      <c r="BU45" s="4">
        <v>21.5</v>
      </c>
      <c r="BV45" s="4">
        <f t="shared" si="0"/>
        <v>2.2000000000000002</v>
      </c>
      <c r="BW45" s="4">
        <v>21.5</v>
      </c>
      <c r="BX45" s="4">
        <v>5.0999999999999996</v>
      </c>
      <c r="BY45" s="4">
        <v>5.3</v>
      </c>
      <c r="BZ45" s="4">
        <v>5.5</v>
      </c>
      <c r="CA45" s="4">
        <v>5.7</v>
      </c>
      <c r="CB45" s="4">
        <v>6</v>
      </c>
      <c r="CC45" s="4">
        <v>6.2</v>
      </c>
      <c r="CD45" s="4">
        <v>6.5</v>
      </c>
      <c r="CE45" s="4">
        <v>6.8</v>
      </c>
    </row>
    <row r="46" spans="1:89" hidden="1" x14ac:dyDescent="0.25">
      <c r="AK46" s="24">
        <f>IF(AND($D$15&lt;&gt;"",MAX($AK$9:AK45)&lt;$D$15)=TRUE,AK45+0.5,"")</f>
        <v>18.5</v>
      </c>
      <c r="AL46" s="25">
        <f t="shared" ca="1" si="9"/>
        <v>1.9</v>
      </c>
      <c r="AN46" s="25">
        <f t="shared" ca="1" si="10"/>
        <v>1.9</v>
      </c>
      <c r="AO46" s="25">
        <f t="shared" ca="1" si="11"/>
        <v>2.1</v>
      </c>
      <c r="AP46" s="25">
        <f t="shared" ca="1" si="12"/>
        <v>-1.1000000000000001</v>
      </c>
      <c r="AR46" s="24">
        <v>-0.3</v>
      </c>
      <c r="AS46" s="24">
        <v>3.08962</v>
      </c>
      <c r="AU46" s="25">
        <f t="shared" ca="1" si="13"/>
        <v>1.7</v>
      </c>
      <c r="BT46" s="4">
        <v>46</v>
      </c>
      <c r="BU46" s="4">
        <v>22</v>
      </c>
      <c r="BV46" s="4">
        <f t="shared" si="0"/>
        <v>2.2000000000000002</v>
      </c>
      <c r="BW46" s="4">
        <v>22</v>
      </c>
      <c r="BX46" s="4">
        <v>5.2</v>
      </c>
      <c r="BY46" s="4">
        <v>5.4</v>
      </c>
      <c r="BZ46" s="4">
        <v>5.6</v>
      </c>
      <c r="CA46" s="4">
        <v>5.8</v>
      </c>
      <c r="CB46" s="4">
        <v>6.1</v>
      </c>
      <c r="CC46" s="4">
        <v>6.4</v>
      </c>
      <c r="CD46" s="4">
        <v>6.7</v>
      </c>
      <c r="CE46" s="4">
        <v>7</v>
      </c>
    </row>
    <row r="47" spans="1:89" hidden="1" x14ac:dyDescent="0.25">
      <c r="H47" s="3"/>
      <c r="AK47" s="24">
        <f>IF(AND($D$15&lt;&gt;"",MAX($AK$9:AK46)&lt;$D$15)=TRUE,AK46+0.5,"")</f>
        <v>19</v>
      </c>
      <c r="AL47" s="25">
        <f t="shared" ca="1" si="9"/>
        <v>2</v>
      </c>
      <c r="AN47" s="25">
        <f t="shared" ca="1" si="10"/>
        <v>2</v>
      </c>
      <c r="AO47" s="25">
        <f t="shared" ca="1" si="11"/>
        <v>2.1</v>
      </c>
      <c r="AP47" s="25">
        <f t="shared" ca="1" si="12"/>
        <v>-1.1000000000000001</v>
      </c>
      <c r="AR47" s="24">
        <v>-0.2</v>
      </c>
      <c r="AS47" s="24">
        <v>3.3154599999999999</v>
      </c>
      <c r="AU47" s="25">
        <f t="shared" ca="1" si="13"/>
        <v>1.7</v>
      </c>
      <c r="BT47" s="4">
        <v>47</v>
      </c>
      <c r="BU47" s="4">
        <v>22.5</v>
      </c>
      <c r="BV47" s="4">
        <f t="shared" si="0"/>
        <v>2.2999999999999998</v>
      </c>
      <c r="BW47" s="4">
        <v>22.5</v>
      </c>
      <c r="BX47" s="4">
        <v>5.3</v>
      </c>
      <c r="BY47" s="4">
        <v>5.5</v>
      </c>
      <c r="BZ47" s="4">
        <v>5.8</v>
      </c>
      <c r="CA47" s="4">
        <v>6</v>
      </c>
      <c r="CB47" s="4">
        <v>6.3</v>
      </c>
      <c r="CC47" s="4">
        <v>6.5</v>
      </c>
      <c r="CD47" s="4">
        <v>6.8</v>
      </c>
    </row>
    <row r="48" spans="1:89" hidden="1" x14ac:dyDescent="0.25">
      <c r="H48" s="3"/>
      <c r="AK48" s="24">
        <f>IF(AND($D$15&lt;&gt;"",MAX($AK$9:AK47)&lt;$D$15)=TRUE,AK47+0.5,"")</f>
        <v>19.5</v>
      </c>
      <c r="AL48" s="25">
        <f t="shared" ca="1" si="9"/>
        <v>2</v>
      </c>
      <c r="AN48" s="25">
        <f t="shared" ca="1" si="10"/>
        <v>2</v>
      </c>
      <c r="AO48" s="25">
        <f t="shared" ca="1" si="11"/>
        <v>2.2000000000000002</v>
      </c>
      <c r="AP48" s="25">
        <f t="shared" ca="1" si="12"/>
        <v>-1</v>
      </c>
      <c r="AR48" s="24">
        <v>-0.1</v>
      </c>
      <c r="AS48" s="24">
        <v>3.5479000000000003</v>
      </c>
      <c r="AU48" s="25">
        <f t="shared" ca="1" si="13"/>
        <v>1.8</v>
      </c>
      <c r="BT48" s="4">
        <v>48</v>
      </c>
      <c r="BU48" s="4">
        <v>23</v>
      </c>
      <c r="BV48" s="4">
        <f t="shared" si="0"/>
        <v>2.2999999999999998</v>
      </c>
      <c r="BW48" s="4">
        <v>23</v>
      </c>
      <c r="BX48" s="4">
        <v>5.4</v>
      </c>
      <c r="BY48" s="4">
        <v>5.7</v>
      </c>
      <c r="BZ48" s="4">
        <v>5.9</v>
      </c>
      <c r="CA48" s="4">
        <v>6.1</v>
      </c>
      <c r="CB48" s="4">
        <v>6.4</v>
      </c>
      <c r="CC48" s="4">
        <v>6.7</v>
      </c>
      <c r="CD48" s="4">
        <v>7</v>
      </c>
    </row>
    <row r="49" spans="8:81" hidden="1" x14ac:dyDescent="0.25">
      <c r="H49" s="3"/>
      <c r="N49" s="2"/>
      <c r="Q49" s="2"/>
      <c r="AK49" s="24">
        <f>IF(AND($D$15&lt;&gt;"",MAX($AK$9:AK48)&lt;$D$15)=TRUE,AK48+0.5,"")</f>
        <v>20</v>
      </c>
      <c r="AL49" s="25">
        <f t="shared" ca="1" si="9"/>
        <v>2</v>
      </c>
      <c r="AN49" s="25">
        <f t="shared" ca="1" si="10"/>
        <v>2</v>
      </c>
      <c r="AO49" s="25">
        <f t="shared" ca="1" si="11"/>
        <v>2.2000000000000002</v>
      </c>
      <c r="AP49" s="25">
        <f t="shared" ca="1" si="12"/>
        <v>-1</v>
      </c>
      <c r="AR49" s="24">
        <v>0</v>
      </c>
      <c r="AS49" s="24">
        <v>4.21516</v>
      </c>
      <c r="AU49" s="25">
        <f t="shared" ca="1" si="13"/>
        <v>1.8</v>
      </c>
      <c r="BT49" s="4">
        <v>49</v>
      </c>
      <c r="BU49" s="4">
        <v>23.5</v>
      </c>
      <c r="BV49" s="4">
        <f t="shared" si="0"/>
        <v>2.2999999999999998</v>
      </c>
      <c r="BW49" s="4">
        <v>23.5</v>
      </c>
      <c r="BX49" s="4">
        <v>5.6</v>
      </c>
      <c r="BY49" s="4">
        <v>5.8</v>
      </c>
      <c r="BZ49" s="4">
        <v>6</v>
      </c>
      <c r="CA49" s="4">
        <v>6.3</v>
      </c>
      <c r="CB49" s="4">
        <v>6.6</v>
      </c>
      <c r="CC49" s="4">
        <v>6.8</v>
      </c>
    </row>
    <row r="50" spans="8:81" hidden="1" x14ac:dyDescent="0.25">
      <c r="H50" s="3"/>
      <c r="AK50" s="24">
        <f>IF(AND($D$15&lt;&gt;"",MAX($AK$9:AK49)&lt;$D$15)=TRUE,AK49+0.5,"")</f>
        <v>20.5</v>
      </c>
      <c r="AL50" s="25">
        <f t="shared" ca="1" si="9"/>
        <v>2</v>
      </c>
      <c r="AN50" s="25">
        <f t="shared" ca="1" si="10"/>
        <v>2</v>
      </c>
      <c r="AO50" s="25">
        <f t="shared" ca="1" si="11"/>
        <v>2.2000000000000002</v>
      </c>
      <c r="AP50" s="25">
        <f t="shared" ca="1" si="12"/>
        <v>-1</v>
      </c>
      <c r="AR50" s="24">
        <v>0.1</v>
      </c>
      <c r="AS50" s="24">
        <v>4.4520999999999997</v>
      </c>
      <c r="AU50" s="25">
        <f t="shared" ca="1" si="13"/>
        <v>1.8</v>
      </c>
      <c r="BT50" s="4">
        <v>50</v>
      </c>
      <c r="BU50" s="4">
        <v>24</v>
      </c>
      <c r="BV50" s="4">
        <f t="shared" si="0"/>
        <v>2.2999999999999998</v>
      </c>
      <c r="BW50" s="4">
        <v>24</v>
      </c>
      <c r="BX50" s="4">
        <v>5.7</v>
      </c>
      <c r="BY50" s="4">
        <v>5.9</v>
      </c>
      <c r="BZ50" s="4">
        <v>6.2</v>
      </c>
      <c r="CA50" s="4">
        <v>6.4</v>
      </c>
      <c r="CB50" s="4">
        <v>6.7</v>
      </c>
      <c r="CC50" s="4">
        <v>7</v>
      </c>
    </row>
    <row r="51" spans="8:81" hidden="1" x14ac:dyDescent="0.25">
      <c r="H51" s="3"/>
      <c r="AK51" s="24">
        <f>IF(AND($D$15&lt;&gt;"",MAX($AK$9:AK50)&lt;$D$15)=TRUE,AK50+0.5,"")</f>
        <v>21</v>
      </c>
      <c r="AL51" s="25">
        <f t="shared" ca="1" si="9"/>
        <v>2.1</v>
      </c>
      <c r="AN51" s="25">
        <f t="shared" ca="1" si="10"/>
        <v>2.1</v>
      </c>
      <c r="AO51" s="25">
        <f t="shared" ca="1" si="11"/>
        <v>2.2999999999999998</v>
      </c>
      <c r="AP51" s="25">
        <f t="shared" ca="1" si="12"/>
        <v>-1</v>
      </c>
      <c r="AR51" s="24">
        <v>0.2</v>
      </c>
      <c r="AS51" s="24">
        <v>4.6845400000000001</v>
      </c>
      <c r="AU51" s="25">
        <f t="shared" ca="1" si="13"/>
        <v>1.8</v>
      </c>
      <c r="BT51" s="4">
        <v>51</v>
      </c>
      <c r="BU51" s="4">
        <v>24.5</v>
      </c>
      <c r="BV51" s="4">
        <f t="shared" si="0"/>
        <v>2.4</v>
      </c>
      <c r="BW51" s="4">
        <v>24.5</v>
      </c>
      <c r="BX51" s="4">
        <v>5.8</v>
      </c>
      <c r="BY51" s="4">
        <v>6.1</v>
      </c>
      <c r="BZ51" s="4">
        <v>6.3</v>
      </c>
      <c r="CA51" s="4">
        <v>6.6</v>
      </c>
      <c r="CB51" s="4">
        <v>6.9</v>
      </c>
    </row>
    <row r="52" spans="8:81" hidden="1" x14ac:dyDescent="0.25">
      <c r="H52" s="3"/>
      <c r="AK52" s="24">
        <f>IF(AND($D$15&lt;&gt;"",MAX($AK$9:AK51)&lt;$D$15)=TRUE,AK51+0.5,"")</f>
        <v>21.5</v>
      </c>
      <c r="AL52" s="25">
        <f t="shared" ca="1" si="9"/>
        <v>2.1</v>
      </c>
      <c r="AN52" s="25">
        <f t="shared" ca="1" si="10"/>
        <v>2.1</v>
      </c>
      <c r="AO52" s="25">
        <f t="shared" ca="1" si="11"/>
        <v>2.2999999999999998</v>
      </c>
      <c r="AP52" s="25">
        <f t="shared" ca="1" si="12"/>
        <v>-1</v>
      </c>
      <c r="AR52" s="24">
        <v>0.3</v>
      </c>
      <c r="AS52" s="24">
        <v>4.91038</v>
      </c>
      <c r="AU52" s="25">
        <f t="shared" ca="1" si="13"/>
        <v>1.8</v>
      </c>
      <c r="BT52" s="4">
        <v>52</v>
      </c>
      <c r="BU52" s="4">
        <v>25</v>
      </c>
      <c r="BV52" s="4">
        <f t="shared" si="0"/>
        <v>2.4</v>
      </c>
      <c r="BW52" s="4">
        <v>25</v>
      </c>
      <c r="BX52" s="4">
        <v>6</v>
      </c>
      <c r="BY52" s="4">
        <v>6.2</v>
      </c>
      <c r="BZ52" s="4">
        <v>6.4</v>
      </c>
      <c r="CA52" s="4">
        <v>6.7</v>
      </c>
      <c r="CB52" s="4">
        <v>7</v>
      </c>
    </row>
    <row r="53" spans="8:81" hidden="1" x14ac:dyDescent="0.25">
      <c r="H53" s="3"/>
      <c r="AK53" s="24">
        <f>IF(AND($D$15&lt;&gt;"",MAX($AK$9:AK52)&lt;$D$15)=TRUE,AK52+0.5,"")</f>
        <v>22</v>
      </c>
      <c r="AL53" s="25">
        <f t="shared" ca="1" si="9"/>
        <v>2.1</v>
      </c>
      <c r="AN53" s="25">
        <f t="shared" ca="1" si="10"/>
        <v>2.1</v>
      </c>
      <c r="AO53" s="25">
        <f t="shared" ca="1" si="11"/>
        <v>2.2999999999999998</v>
      </c>
      <c r="AP53" s="25">
        <f t="shared" ca="1" si="12"/>
        <v>-1</v>
      </c>
      <c r="AR53" s="24">
        <v>0.4</v>
      </c>
      <c r="AS53" s="24">
        <v>5.12758</v>
      </c>
      <c r="AU53" s="25">
        <f t="shared" ca="1" si="13"/>
        <v>1.8</v>
      </c>
      <c r="BT53" s="4">
        <v>53</v>
      </c>
      <c r="BU53" s="4">
        <v>25.5</v>
      </c>
      <c r="BV53" s="4">
        <f t="shared" si="0"/>
        <v>2.4</v>
      </c>
      <c r="BW53" s="4">
        <v>25.5</v>
      </c>
      <c r="BX53" s="4">
        <v>6.1</v>
      </c>
      <c r="BY53" s="4">
        <v>6.3</v>
      </c>
      <c r="BZ53" s="4">
        <v>6.6</v>
      </c>
      <c r="CA53" s="4">
        <v>6.9</v>
      </c>
    </row>
    <row r="54" spans="8:81" hidden="1" x14ac:dyDescent="0.25">
      <c r="H54" s="3"/>
      <c r="AK54" s="24">
        <f>IF(AND($D$15&lt;&gt;"",MAX($AK$9:AK53)&lt;$D$15)=TRUE,AK53+0.5,"")</f>
        <v>22.5</v>
      </c>
      <c r="AL54" s="25">
        <f t="shared" ca="1" si="9"/>
        <v>2.1</v>
      </c>
      <c r="AN54" s="25">
        <f t="shared" ca="1" si="10"/>
        <v>2.1</v>
      </c>
      <c r="AO54" s="25">
        <f t="shared" ca="1" si="11"/>
        <v>2.4</v>
      </c>
      <c r="AP54" s="25">
        <f t="shared" ca="1" si="12"/>
        <v>-0.9</v>
      </c>
      <c r="AR54" s="24">
        <v>0.5</v>
      </c>
      <c r="AS54" s="24">
        <v>5.3344000000000005</v>
      </c>
      <c r="AU54" s="25">
        <f t="shared" ca="1" si="13"/>
        <v>2</v>
      </c>
      <c r="BT54" s="4">
        <v>54</v>
      </c>
      <c r="BU54" s="4">
        <v>26</v>
      </c>
      <c r="BV54" s="4">
        <f t="shared" si="0"/>
        <v>2.4</v>
      </c>
      <c r="BW54" s="4">
        <v>26</v>
      </c>
      <c r="BX54" s="4">
        <v>6.2</v>
      </c>
      <c r="BY54" s="4">
        <v>6.5</v>
      </c>
      <c r="BZ54" s="4">
        <v>6.7</v>
      </c>
      <c r="CA54" s="4">
        <v>7</v>
      </c>
    </row>
    <row r="55" spans="8:81" hidden="1" x14ac:dyDescent="0.25">
      <c r="H55" s="3"/>
      <c r="AK55" s="24">
        <f>IF(AND($D$15&lt;&gt;"",MAX($AK$9:AK54)&lt;$D$15)=TRUE,AK54+0.5,"")</f>
        <v>23</v>
      </c>
      <c r="AL55" s="25">
        <f t="shared" ca="1" si="9"/>
        <v>2.2000000000000002</v>
      </c>
      <c r="AN55" s="25">
        <f t="shared" ca="1" si="10"/>
        <v>2.2000000000000002</v>
      </c>
      <c r="AO55" s="25">
        <f t="shared" ca="1" si="11"/>
        <v>2.4</v>
      </c>
      <c r="AP55" s="25">
        <f t="shared" ca="1" si="12"/>
        <v>-0.9</v>
      </c>
      <c r="AR55" s="24">
        <v>0.6</v>
      </c>
      <c r="AS55" s="24">
        <v>5.5293999999999999</v>
      </c>
      <c r="AU55" s="25">
        <f t="shared" ca="1" si="13"/>
        <v>2</v>
      </c>
      <c r="BT55" s="4">
        <v>55</v>
      </c>
      <c r="BU55" s="4">
        <v>26.5</v>
      </c>
      <c r="BV55" s="4">
        <f t="shared" si="0"/>
        <v>2.5</v>
      </c>
      <c r="BW55" s="4">
        <v>26.5</v>
      </c>
      <c r="BX55" s="4">
        <v>6.4</v>
      </c>
      <c r="BY55" s="4">
        <v>6.6</v>
      </c>
      <c r="BZ55" s="4">
        <v>6.9</v>
      </c>
    </row>
    <row r="56" spans="8:81" hidden="1" x14ac:dyDescent="0.25">
      <c r="H56" s="3"/>
      <c r="AK56" s="24">
        <f>IF(AND($D$15&lt;&gt;"",MAX($AK$9:AK55)&lt;$D$15)=TRUE,AK55+0.5,"")</f>
        <v>23.5</v>
      </c>
      <c r="AL56" s="25">
        <f t="shared" ca="1" si="9"/>
        <v>2.2000000000000002</v>
      </c>
      <c r="AN56" s="25">
        <f t="shared" ca="1" si="10"/>
        <v>2.2000000000000002</v>
      </c>
      <c r="AO56" s="25">
        <f t="shared" ca="1" si="11"/>
        <v>2.4</v>
      </c>
      <c r="AP56" s="25">
        <f t="shared" ca="1" si="12"/>
        <v>-0.9</v>
      </c>
      <c r="AR56" s="24">
        <v>0.7</v>
      </c>
      <c r="AS56" s="24">
        <v>5.7114400000000005</v>
      </c>
      <c r="AU56" s="25">
        <f t="shared" ca="1" si="13"/>
        <v>2</v>
      </c>
      <c r="BT56" s="4">
        <v>56</v>
      </c>
      <c r="BU56" s="4">
        <v>27</v>
      </c>
      <c r="BV56" s="4">
        <f t="shared" si="0"/>
        <v>2.5</v>
      </c>
      <c r="BW56" s="4">
        <v>27</v>
      </c>
      <c r="BX56" s="4">
        <v>6.5</v>
      </c>
      <c r="BY56" s="4">
        <v>6.7</v>
      </c>
      <c r="BZ56" s="4">
        <v>7</v>
      </c>
    </row>
    <row r="57" spans="8:81" hidden="1" x14ac:dyDescent="0.25">
      <c r="H57" s="3"/>
      <c r="AK57" s="24">
        <f>IF(AND($D$15&lt;&gt;"",MAX($AK$9:AK56)&lt;$D$15)=TRUE,AK56+0.5,"")</f>
        <v>24</v>
      </c>
      <c r="AL57" s="25">
        <f t="shared" ca="1" si="9"/>
        <v>2.2000000000000002</v>
      </c>
      <c r="AN57" s="25">
        <f t="shared" ca="1" si="10"/>
        <v>2.2000000000000002</v>
      </c>
      <c r="AO57" s="25">
        <f t="shared" ca="1" si="11"/>
        <v>2.4</v>
      </c>
      <c r="AP57" s="25">
        <f t="shared" ca="1" si="12"/>
        <v>-0.9</v>
      </c>
      <c r="AR57" s="24">
        <v>0.8</v>
      </c>
      <c r="AS57" s="24">
        <v>5.8796200000000001</v>
      </c>
      <c r="AU57" s="25">
        <f t="shared" ca="1" si="13"/>
        <v>2</v>
      </c>
      <c r="BT57" s="4">
        <v>57</v>
      </c>
      <c r="BU57" s="4">
        <v>27.5</v>
      </c>
      <c r="BV57" s="4">
        <f t="shared" si="0"/>
        <v>2.5</v>
      </c>
      <c r="BW57" s="4">
        <v>27.5</v>
      </c>
      <c r="BX57" s="4">
        <v>6.6</v>
      </c>
      <c r="BY57" s="4">
        <v>6.9</v>
      </c>
    </row>
    <row r="58" spans="8:81" hidden="1" x14ac:dyDescent="0.25">
      <c r="H58" s="3"/>
      <c r="AK58" s="24">
        <f>IF(AND($D$15&lt;&gt;"",MAX($AK$9:AK57)&lt;$D$15)=TRUE,AK57+0.5,"")</f>
        <v>24.5</v>
      </c>
      <c r="AL58" s="25">
        <f t="shared" ca="1" si="9"/>
        <v>2.2000000000000002</v>
      </c>
      <c r="AN58" s="25">
        <f t="shared" ca="1" si="10"/>
        <v>2.2000000000000002</v>
      </c>
      <c r="AO58" s="25">
        <f t="shared" ca="1" si="11"/>
        <v>2.5</v>
      </c>
      <c r="AP58" s="25">
        <f t="shared" ca="1" si="12"/>
        <v>-0.9</v>
      </c>
      <c r="AR58" s="24">
        <v>0.9</v>
      </c>
      <c r="AS58" s="24">
        <v>6.0334599999999998</v>
      </c>
      <c r="AU58" s="25">
        <f t="shared" ca="1" si="13"/>
        <v>2</v>
      </c>
      <c r="BT58" s="4">
        <v>58</v>
      </c>
      <c r="BU58" s="4">
        <v>28</v>
      </c>
      <c r="BV58" s="4">
        <f t="shared" si="0"/>
        <v>2.6</v>
      </c>
      <c r="BW58" s="4">
        <v>28</v>
      </c>
      <c r="BX58" s="4">
        <v>6.7</v>
      </c>
      <c r="BY58" s="4">
        <v>7</v>
      </c>
    </row>
    <row r="59" spans="8:81" hidden="1" x14ac:dyDescent="0.25">
      <c r="H59" s="3"/>
      <c r="AK59" s="24">
        <f>IF(AND($D$15&lt;&gt;"",MAX($AK$9:AK58)&lt;$D$15)=TRUE,AK58+0.5,"")</f>
        <v>25</v>
      </c>
      <c r="AL59" s="25">
        <f t="shared" ca="1" si="9"/>
        <v>2.2999999999999998</v>
      </c>
      <c r="AN59" s="25">
        <f t="shared" ca="1" si="10"/>
        <v>2.2999999999999998</v>
      </c>
      <c r="AO59" s="25">
        <f t="shared" ca="1" si="11"/>
        <v>2.5</v>
      </c>
      <c r="AP59" s="25">
        <f t="shared" ca="1" si="12"/>
        <v>-0.9</v>
      </c>
      <c r="AR59" s="24">
        <v>1</v>
      </c>
      <c r="AS59" s="24">
        <v>6.1728399999999999</v>
      </c>
      <c r="AU59" s="25">
        <f t="shared" ca="1" si="13"/>
        <v>2</v>
      </c>
      <c r="BT59" s="4">
        <v>59</v>
      </c>
      <c r="BU59" s="4">
        <v>28.5</v>
      </c>
      <c r="BV59" s="4">
        <f t="shared" si="0"/>
        <v>2.6</v>
      </c>
      <c r="BW59" s="4">
        <v>28.5</v>
      </c>
      <c r="BX59" s="4">
        <v>6.9</v>
      </c>
    </row>
    <row r="60" spans="8:81" hidden="1" x14ac:dyDescent="0.25">
      <c r="H60" s="3"/>
      <c r="AK60" s="24">
        <f>IF(AND($D$15&lt;&gt;"",MAX($AK$9:AK59)&lt;$D$15)=TRUE,AK59+0.5,"")</f>
        <v>25.5</v>
      </c>
      <c r="AL60" s="25">
        <f t="shared" ca="1" si="9"/>
        <v>2.2999999999999998</v>
      </c>
      <c r="AN60" s="25">
        <f t="shared" ca="1" si="10"/>
        <v>2.2999999999999998</v>
      </c>
      <c r="AO60" s="25">
        <f t="shared" ca="1" si="11"/>
        <v>2.5</v>
      </c>
      <c r="AP60" s="25">
        <f t="shared" ca="1" si="12"/>
        <v>-0.9</v>
      </c>
      <c r="AR60" s="24">
        <v>1.1000000000000001</v>
      </c>
      <c r="AS60" s="24">
        <v>6.2978800000000001</v>
      </c>
      <c r="AU60" s="25">
        <f t="shared" ca="1" si="13"/>
        <v>2</v>
      </c>
      <c r="BT60" s="4">
        <v>60</v>
      </c>
      <c r="BU60" s="4">
        <v>29</v>
      </c>
      <c r="BV60" s="4">
        <f t="shared" si="0"/>
        <v>2.6</v>
      </c>
      <c r="BW60" s="4">
        <v>29</v>
      </c>
      <c r="BX60" s="4">
        <v>7</v>
      </c>
    </row>
    <row r="61" spans="8:81" hidden="1" x14ac:dyDescent="0.25">
      <c r="H61" s="3"/>
      <c r="AK61" s="24">
        <f>IF(AND($D$15&lt;&gt;"",MAX($AK$9:AK60)&lt;$D$15)=TRUE,AK60+0.5,"")</f>
        <v>26</v>
      </c>
      <c r="AL61" s="25">
        <f t="shared" ca="1" si="9"/>
        <v>2.2999999999999998</v>
      </c>
      <c r="AN61" s="25">
        <f t="shared" ca="1" si="10"/>
        <v>2.2999999999999998</v>
      </c>
      <c r="AO61" s="25">
        <f t="shared" ca="1" si="11"/>
        <v>2.6</v>
      </c>
      <c r="AP61" s="25">
        <f t="shared" ca="1" si="12"/>
        <v>-0.8</v>
      </c>
      <c r="AR61" s="24">
        <v>1.2</v>
      </c>
      <c r="AS61" s="24">
        <v>6.4088200000000004</v>
      </c>
      <c r="AU61" s="25">
        <f t="shared" ca="1" si="13"/>
        <v>2.1</v>
      </c>
      <c r="BU61" s="4">
        <v>29.5</v>
      </c>
      <c r="BV61" s="4">
        <f t="shared" si="0"/>
        <v>2.6</v>
      </c>
    </row>
    <row r="62" spans="8:81" hidden="1" x14ac:dyDescent="0.25">
      <c r="H62" s="3"/>
      <c r="AK62" s="24">
        <f>IF(AND($D$15&lt;&gt;"",MAX($AK$9:AK61)&lt;$D$15)=TRUE,AK61+0.5,"")</f>
        <v>26.5</v>
      </c>
      <c r="AL62" s="25">
        <f t="shared" ca="1" si="9"/>
        <v>2.2999999999999998</v>
      </c>
      <c r="AN62" s="25">
        <f t="shared" ca="1" si="10"/>
        <v>2.2999999999999998</v>
      </c>
      <c r="AO62" s="25">
        <f t="shared" ca="1" si="11"/>
        <v>2.6</v>
      </c>
      <c r="AP62" s="25">
        <f t="shared" ca="1" si="12"/>
        <v>-0.8</v>
      </c>
      <c r="AR62" s="24">
        <v>1.3</v>
      </c>
      <c r="AS62" s="24">
        <v>6.5064399999999996</v>
      </c>
      <c r="AU62" s="25">
        <f t="shared" ca="1" si="13"/>
        <v>2.1</v>
      </c>
      <c r="BU62" s="4">
        <v>30</v>
      </c>
      <c r="BV62" s="4">
        <f t="shared" si="0"/>
        <v>2.7</v>
      </c>
    </row>
    <row r="63" spans="8:81" hidden="1" x14ac:dyDescent="0.25">
      <c r="H63" s="3"/>
      <c r="AK63" s="24">
        <f>IF(AND($D$15&lt;&gt;"",MAX($AK$9:AK62)&lt;$D$15)=TRUE,AK62+0.5,"")</f>
        <v>27</v>
      </c>
      <c r="AL63" s="25">
        <f t="shared" ca="1" si="9"/>
        <v>2.4</v>
      </c>
      <c r="AN63" s="25">
        <f t="shared" ca="1" si="10"/>
        <v>2.4</v>
      </c>
      <c r="AO63" s="25">
        <f t="shared" ca="1" si="11"/>
        <v>2.6</v>
      </c>
      <c r="AP63" s="25">
        <f t="shared" ca="1" si="12"/>
        <v>-0.8</v>
      </c>
      <c r="AR63" s="24">
        <v>1.4</v>
      </c>
      <c r="AS63" s="24">
        <v>6.5913399999999998</v>
      </c>
      <c r="AU63" s="25">
        <f t="shared" ca="1" si="13"/>
        <v>2.1</v>
      </c>
      <c r="BU63" s="4">
        <v>30.5</v>
      </c>
      <c r="BV63" s="4">
        <f t="shared" si="0"/>
        <v>2.7</v>
      </c>
    </row>
    <row r="64" spans="8:81" hidden="1" x14ac:dyDescent="0.25">
      <c r="H64" s="3"/>
      <c r="AK64" s="24">
        <f>IF(AND($D$15&lt;&gt;"",MAX($AK$9:AK63)&lt;$D$15)=TRUE,AK63+0.5,"")</f>
        <v>27.5</v>
      </c>
      <c r="AL64" s="25">
        <f t="shared" ca="1" si="9"/>
        <v>2.4</v>
      </c>
      <c r="AN64" s="25">
        <f t="shared" ca="1" si="10"/>
        <v>2.4</v>
      </c>
      <c r="AO64" s="25">
        <f t="shared" ca="1" si="11"/>
        <v>2.7</v>
      </c>
      <c r="AP64" s="25">
        <f t="shared" ca="1" si="12"/>
        <v>-0.7</v>
      </c>
      <c r="AR64" s="24">
        <v>1.5</v>
      </c>
      <c r="AS64" s="24">
        <v>6.6644800000000002</v>
      </c>
      <c r="AU64" s="25">
        <f t="shared" ca="1" si="13"/>
        <v>2.2999999999999998</v>
      </c>
      <c r="BU64" s="4">
        <v>31</v>
      </c>
      <c r="BV64" s="4">
        <f t="shared" si="0"/>
        <v>2.7</v>
      </c>
    </row>
    <row r="65" spans="8:74" hidden="1" x14ac:dyDescent="0.25">
      <c r="H65" s="3"/>
      <c r="AK65" s="24">
        <f>IF(AND($D$15&lt;&gt;"",MAX($AK$9:AK64)&lt;$D$15)=TRUE,AK64+0.5,"")</f>
        <v>28</v>
      </c>
      <c r="AL65" s="25">
        <f t="shared" ca="1" si="9"/>
        <v>2.4</v>
      </c>
      <c r="AN65" s="25">
        <f t="shared" ca="1" si="10"/>
        <v>2.4</v>
      </c>
      <c r="AO65" s="25">
        <f t="shared" ca="1" si="11"/>
        <v>2.7</v>
      </c>
      <c r="AP65" s="25">
        <f t="shared" ca="1" si="12"/>
        <v>-0.7</v>
      </c>
      <c r="AR65" s="24">
        <v>1.6</v>
      </c>
      <c r="AS65" s="24">
        <v>6.7269399999999999</v>
      </c>
      <c r="AU65" s="25">
        <f t="shared" ca="1" si="13"/>
        <v>2.2999999999999998</v>
      </c>
      <c r="BU65" s="4">
        <v>31.5</v>
      </c>
      <c r="BV65" s="4">
        <f t="shared" si="0"/>
        <v>2.8</v>
      </c>
    </row>
    <row r="66" spans="8:74" hidden="1" x14ac:dyDescent="0.25">
      <c r="H66" s="3"/>
      <c r="AK66" s="24">
        <f>IF(AND($D$15&lt;&gt;"",MAX($AK$9:AK65)&lt;$D$15)=TRUE,AK65+0.5,"")</f>
        <v>28.5</v>
      </c>
      <c r="AL66" s="25">
        <f t="shared" ca="1" si="9"/>
        <v>2.4</v>
      </c>
      <c r="AN66" s="25">
        <f t="shared" ca="1" si="10"/>
        <v>2.4</v>
      </c>
      <c r="AO66" s="25">
        <f t="shared" ca="1" si="11"/>
        <v>2.7</v>
      </c>
      <c r="AP66" s="25">
        <f t="shared" ca="1" si="12"/>
        <v>-0.7</v>
      </c>
      <c r="AR66" s="24">
        <v>1.7</v>
      </c>
      <c r="AS66" s="24">
        <v>6.7796199999999995</v>
      </c>
      <c r="AU66" s="25">
        <f t="shared" ca="1" si="13"/>
        <v>2.2999999999999998</v>
      </c>
      <c r="BU66" s="4">
        <v>32</v>
      </c>
      <c r="BV66" s="4">
        <f t="shared" si="0"/>
        <v>2.8</v>
      </c>
    </row>
    <row r="67" spans="8:74" hidden="1" x14ac:dyDescent="0.25">
      <c r="H67" s="3"/>
      <c r="AK67" s="24">
        <f>IF(AND($D$15&lt;&gt;"",MAX($AK$9:AK66)&lt;$D$15)=TRUE,AK66+0.5,"")</f>
        <v>29</v>
      </c>
      <c r="AL67" s="25">
        <f t="shared" ca="1" si="9"/>
        <v>2.5</v>
      </c>
      <c r="AN67" s="25">
        <f t="shared" ca="1" si="10"/>
        <v>2.5</v>
      </c>
      <c r="AO67" s="25">
        <f t="shared" ca="1" si="11"/>
        <v>2.7</v>
      </c>
      <c r="AP67" s="25">
        <f t="shared" ca="1" si="12"/>
        <v>-0.7</v>
      </c>
      <c r="AR67" s="24">
        <v>1.8</v>
      </c>
      <c r="AS67" s="24">
        <v>6.8237199999999998</v>
      </c>
      <c r="AU67" s="25">
        <f t="shared" ca="1" si="13"/>
        <v>2.2999999999999998</v>
      </c>
      <c r="BU67" s="4">
        <v>32.5</v>
      </c>
      <c r="BV67" s="4">
        <f t="shared" ref="BV67:BV130" si="26">IFERROR(IF(AND($BS$2&gt;=5,$BS$2&lt;=29),HLOOKUP($BS$2,$BX$1:$CV$60,$BT67,FALSE),IF(BU67&gt;=0.6*$BS$2*2,ROUND(((7-4)/($BS$2*2-0.6*$BS$2*2))*(BU67-0.6*$BS$2*2)+4,1),ROUND(((4-1)/(0.6*$BS$2*2))*BU67+1,1))),"")</f>
        <v>2.8</v>
      </c>
    </row>
    <row r="68" spans="8:74" hidden="1" x14ac:dyDescent="0.25">
      <c r="H68" s="3"/>
      <c r="AK68" s="24">
        <f>IF(AND($D$15&lt;&gt;"",MAX($AK$9:AK67)&lt;$D$15)=TRUE,AK67+0.5,"")</f>
        <v>29.5</v>
      </c>
      <c r="AL68" s="25">
        <f t="shared" ca="1" si="9"/>
        <v>2.5</v>
      </c>
      <c r="AN68" s="25">
        <f t="shared" ca="1" si="10"/>
        <v>2.5</v>
      </c>
      <c r="AO68" s="25">
        <f t="shared" ca="1" si="11"/>
        <v>2.8</v>
      </c>
      <c r="AP68" s="25">
        <f t="shared" ca="1" si="12"/>
        <v>-0.7</v>
      </c>
      <c r="AR68" s="24">
        <v>1.9</v>
      </c>
      <c r="AS68" s="24">
        <v>6.8601999999999999</v>
      </c>
      <c r="AU68" s="25">
        <f t="shared" ca="1" si="13"/>
        <v>2.2999999999999998</v>
      </c>
      <c r="BU68" s="4">
        <v>33</v>
      </c>
      <c r="BV68" s="4">
        <f t="shared" si="26"/>
        <v>2.8</v>
      </c>
    </row>
    <row r="69" spans="8:74" hidden="1" x14ac:dyDescent="0.25">
      <c r="H69" s="3"/>
      <c r="AK69" s="24">
        <f>IF(AND($D$15&lt;&gt;"",MAX($AK$9:AK68)&lt;$D$15)=TRUE,AK68+0.5,"")</f>
        <v>30</v>
      </c>
      <c r="AL69" s="25">
        <f t="shared" ca="1" si="9"/>
        <v>2.5</v>
      </c>
      <c r="AN69" s="25">
        <f t="shared" ca="1" si="10"/>
        <v>2.5</v>
      </c>
      <c r="AO69" s="25">
        <f t="shared" ca="1" si="11"/>
        <v>2.8</v>
      </c>
      <c r="AP69" s="25">
        <f t="shared" ca="1" si="12"/>
        <v>-0.7</v>
      </c>
      <c r="AR69" s="24">
        <v>2</v>
      </c>
      <c r="AS69" s="24">
        <v>6.8901399999999997</v>
      </c>
      <c r="AU69" s="25">
        <f t="shared" ca="1" si="13"/>
        <v>2.2999999999999998</v>
      </c>
      <c r="BU69" s="4">
        <v>33.5</v>
      </c>
      <c r="BV69" s="4">
        <f t="shared" si="26"/>
        <v>2.9</v>
      </c>
    </row>
    <row r="70" spans="8:74" hidden="1" x14ac:dyDescent="0.25">
      <c r="H70" s="3"/>
      <c r="AK70" s="24">
        <f>IF(AND($D$15&lt;&gt;"",MAX($AK$9:AK69)&lt;$D$15)=TRUE,AK69+0.5,"")</f>
        <v>30.5</v>
      </c>
      <c r="AL70" s="25">
        <f t="shared" ca="1" si="9"/>
        <v>2.5</v>
      </c>
      <c r="AN70" s="25">
        <f t="shared" ca="1" si="10"/>
        <v>2.5</v>
      </c>
      <c r="AO70" s="25">
        <f t="shared" ca="1" si="11"/>
        <v>2.8</v>
      </c>
      <c r="AP70" s="25">
        <f t="shared" ca="1" si="12"/>
        <v>-0.7</v>
      </c>
      <c r="AR70" s="24">
        <v>2.1</v>
      </c>
      <c r="AS70" s="24">
        <v>6.9144399999999999</v>
      </c>
      <c r="AU70" s="25">
        <f t="shared" ca="1" si="13"/>
        <v>2.2999999999999998</v>
      </c>
      <c r="BU70" s="4">
        <v>34</v>
      </c>
      <c r="BV70" s="4">
        <f t="shared" si="26"/>
        <v>2.9</v>
      </c>
    </row>
    <row r="71" spans="8:74" hidden="1" x14ac:dyDescent="0.25">
      <c r="H71" s="3"/>
      <c r="AK71" s="24">
        <f>IF(AND($D$15&lt;&gt;"",MAX($AK$9:AK70)&lt;$D$15)=TRUE,AK70+0.5,"")</f>
        <v>31</v>
      </c>
      <c r="AL71" s="25">
        <f t="shared" ca="1" si="9"/>
        <v>2.6</v>
      </c>
      <c r="AN71" s="25">
        <f t="shared" ca="1" si="10"/>
        <v>2.6</v>
      </c>
      <c r="AO71" s="25">
        <f t="shared" ca="1" si="11"/>
        <v>2.9</v>
      </c>
      <c r="AP71" s="25">
        <f t="shared" ca="1" si="12"/>
        <v>-0.6</v>
      </c>
      <c r="AR71" s="24">
        <v>2.2000000000000002</v>
      </c>
      <c r="AS71" s="24">
        <v>6.9339399999999998</v>
      </c>
      <c r="AU71" s="25">
        <f t="shared" ca="1" si="13"/>
        <v>2.5</v>
      </c>
      <c r="BU71" s="4">
        <v>34.5</v>
      </c>
      <c r="BV71" s="4">
        <f t="shared" si="26"/>
        <v>2.9</v>
      </c>
    </row>
    <row r="72" spans="8:74" hidden="1" x14ac:dyDescent="0.25">
      <c r="H72" s="3"/>
      <c r="AK72" s="24">
        <f>IF(AND($D$15&lt;&gt;"",MAX($AK$9:AK71)&lt;$D$15)=TRUE,AK71+0.5,"")</f>
        <v>31.5</v>
      </c>
      <c r="AL72" s="25">
        <f t="shared" ca="1" si="9"/>
        <v>2.6</v>
      </c>
      <c r="AN72" s="25">
        <f t="shared" ca="1" si="10"/>
        <v>2.6</v>
      </c>
      <c r="AO72" s="25">
        <f t="shared" ca="1" si="11"/>
        <v>2.9</v>
      </c>
      <c r="AP72" s="25">
        <f t="shared" ca="1" si="12"/>
        <v>-0.6</v>
      </c>
      <c r="AR72" s="24">
        <v>2.2999999999999998</v>
      </c>
      <c r="AS72" s="24">
        <v>6.9494800000000003</v>
      </c>
      <c r="AU72" s="25">
        <f t="shared" ca="1" si="13"/>
        <v>2.5</v>
      </c>
      <c r="BU72" s="4">
        <v>35</v>
      </c>
      <c r="BV72" s="4">
        <f t="shared" si="26"/>
        <v>2.9</v>
      </c>
    </row>
    <row r="73" spans="8:74" hidden="1" x14ac:dyDescent="0.25">
      <c r="H73" s="3"/>
      <c r="AK73" s="24">
        <f>IF(AND($D$15&lt;&gt;"",MAX($AK$9:AK72)&lt;$D$15)=TRUE,AK72+0.5,"")</f>
        <v>32</v>
      </c>
      <c r="AL73" s="25">
        <f t="shared" ref="AL73:AL136" ca="1" si="27">IF(AK73&lt;=$D$15,IF($D$17=$AZ$9,AO73,IF($D$17=$AZ$10,AN73,IF($D$17=$AZ$11,AU73,""))),"")</f>
        <v>2.6</v>
      </c>
      <c r="AN73" s="25">
        <f t="shared" ca="1" si="10"/>
        <v>2.6</v>
      </c>
      <c r="AO73" s="25">
        <f t="shared" ca="1" si="11"/>
        <v>2.9</v>
      </c>
      <c r="AP73" s="25">
        <f t="shared" ca="1" si="12"/>
        <v>-0.6</v>
      </c>
      <c r="AR73" s="24">
        <v>2.4</v>
      </c>
      <c r="AS73" s="24">
        <v>6.9616600000000002</v>
      </c>
      <c r="AU73" s="25">
        <f t="shared" ca="1" si="13"/>
        <v>2.5</v>
      </c>
      <c r="BU73" s="4">
        <v>35.5</v>
      </c>
      <c r="BV73" s="4">
        <f t="shared" si="26"/>
        <v>3</v>
      </c>
    </row>
    <row r="74" spans="8:74" hidden="1" x14ac:dyDescent="0.25">
      <c r="H74" s="3"/>
      <c r="AK74" s="24">
        <f>IF(AND($D$15&lt;&gt;"",MAX($AK$9:AK73)&lt;$D$15)=TRUE,AK73+0.5,"")</f>
        <v>32.5</v>
      </c>
      <c r="AL74" s="25">
        <f t="shared" ca="1" si="27"/>
        <v>2.6</v>
      </c>
      <c r="AN74" s="25">
        <f t="shared" ref="AN74:AN137" ca="1" si="28">IF($AN$1=2024,ROUND(IF(AK74&lt;$D$15*$D$13,(4-$D$9)*(AK74/($D$15*$D$13))+$D$9,($D$11-4)*((AK74-$D$15*$D$13)/($D$15*(1-$D$13)))+4),1),"")</f>
        <v>2.6</v>
      </c>
      <c r="AO74" s="25">
        <f t="shared" ref="AO74:AO137" ca="1" si="29">IF($AN$1=2024,IFERROR(IF(AK74&lt;=$D$15,ROUND(AK74/$D$15*($D$11-$D$9)+$D$9,1),""),""),"")</f>
        <v>3</v>
      </c>
      <c r="AP74" s="25">
        <f t="shared" ref="AP74:AP137" ca="1" si="30">IF($AN$1=2024,IF(AO74&lt;&gt;"",ROUND((AO74-AVERAGE($AO$9:$AO$609))/STDEV($AO$9:$AO$609),1),""),"")</f>
        <v>-0.6</v>
      </c>
      <c r="AR74" s="24">
        <v>2.5</v>
      </c>
      <c r="AS74" s="24">
        <v>6.9711999999999996</v>
      </c>
      <c r="AU74" s="25">
        <f t="shared" ref="AU74:AU137" ca="1" si="31">IF($AN$1=2024,IF(AP74&lt;&gt;"",IF(AP74=MIN($AP$9:$AP$609),1,IF(AP74=MAX($AP$9:$AP$609),7,ROUND(VLOOKUP(AP74,$AR$9:$AS$89,2,FALSE),1))),""),"")</f>
        <v>2.5</v>
      </c>
      <c r="BU74" s="4">
        <v>36</v>
      </c>
      <c r="BV74" s="4">
        <f t="shared" si="26"/>
        <v>3</v>
      </c>
    </row>
    <row r="75" spans="8:74" hidden="1" x14ac:dyDescent="0.25">
      <c r="H75" s="3"/>
      <c r="AK75" s="24">
        <f>IF(AND($D$15&lt;&gt;"",MAX($AK$9:AK74)&lt;$D$15)=TRUE,AK74+0.5,"")</f>
        <v>33</v>
      </c>
      <c r="AL75" s="25">
        <f t="shared" ca="1" si="27"/>
        <v>2.7</v>
      </c>
      <c r="AN75" s="25">
        <f t="shared" ca="1" si="28"/>
        <v>2.7</v>
      </c>
      <c r="AO75" s="25">
        <f t="shared" ca="1" si="29"/>
        <v>3</v>
      </c>
      <c r="AP75" s="25">
        <f t="shared" ca="1" si="30"/>
        <v>-0.6</v>
      </c>
      <c r="AR75" s="24">
        <v>2.6</v>
      </c>
      <c r="AS75" s="24">
        <v>6.97858</v>
      </c>
      <c r="AU75" s="25">
        <f t="shared" ca="1" si="31"/>
        <v>2.5</v>
      </c>
      <c r="BU75" s="4">
        <v>36.5</v>
      </c>
      <c r="BV75" s="4">
        <f t="shared" si="26"/>
        <v>3</v>
      </c>
    </row>
    <row r="76" spans="8:74" hidden="1" x14ac:dyDescent="0.25">
      <c r="H76" s="3"/>
      <c r="AK76" s="24">
        <f>IF(AND($D$15&lt;&gt;"",MAX($AK$9:AK75)&lt;$D$15)=TRUE,AK75+0.5,"")</f>
        <v>33.5</v>
      </c>
      <c r="AL76" s="25">
        <f t="shared" ca="1" si="27"/>
        <v>2.7</v>
      </c>
      <c r="AN76" s="25">
        <f t="shared" ca="1" si="28"/>
        <v>2.7</v>
      </c>
      <c r="AO76" s="25">
        <f t="shared" ca="1" si="29"/>
        <v>3</v>
      </c>
      <c r="AP76" s="25">
        <f t="shared" ca="1" si="30"/>
        <v>-0.6</v>
      </c>
      <c r="AR76" s="24">
        <v>2.7</v>
      </c>
      <c r="AS76" s="24">
        <v>6.9841600000000001</v>
      </c>
      <c r="AU76" s="25">
        <f t="shared" ca="1" si="31"/>
        <v>2.5</v>
      </c>
      <c r="BU76" s="4">
        <v>37</v>
      </c>
      <c r="BV76" s="4">
        <f t="shared" si="26"/>
        <v>3.1</v>
      </c>
    </row>
    <row r="77" spans="8:74" hidden="1" x14ac:dyDescent="0.25">
      <c r="AK77" s="24">
        <f>IF(AND($D$15&lt;&gt;"",MAX($AK$9:AK76)&lt;$D$15)=TRUE,AK76+0.5,"")</f>
        <v>34</v>
      </c>
      <c r="AL77" s="25">
        <f t="shared" ca="1" si="27"/>
        <v>2.7</v>
      </c>
      <c r="AN77" s="25">
        <f t="shared" ca="1" si="28"/>
        <v>2.7</v>
      </c>
      <c r="AO77" s="25">
        <f t="shared" ca="1" si="29"/>
        <v>3</v>
      </c>
      <c r="AP77" s="25">
        <f t="shared" ca="1" si="30"/>
        <v>-0.6</v>
      </c>
      <c r="AR77" s="24">
        <v>2.8</v>
      </c>
      <c r="AS77" s="24">
        <v>6.9884199999999996</v>
      </c>
      <c r="AU77" s="25">
        <f t="shared" ca="1" si="31"/>
        <v>2.5</v>
      </c>
      <c r="BU77" s="4">
        <v>37.5</v>
      </c>
      <c r="BV77" s="4">
        <f t="shared" si="26"/>
        <v>3.1</v>
      </c>
    </row>
    <row r="78" spans="8:74" hidden="1" x14ac:dyDescent="0.25">
      <c r="AK78" s="24">
        <f>IF(AND($D$15&lt;&gt;"",MAX($AK$9:AK77)&lt;$D$15)=TRUE,AK77+0.5,"")</f>
        <v>34.5</v>
      </c>
      <c r="AL78" s="25">
        <f t="shared" ca="1" si="27"/>
        <v>2.7</v>
      </c>
      <c r="AN78" s="25">
        <f t="shared" ca="1" si="28"/>
        <v>2.7</v>
      </c>
      <c r="AO78" s="25">
        <f t="shared" ca="1" si="29"/>
        <v>3.1</v>
      </c>
      <c r="AP78" s="25">
        <f t="shared" ca="1" si="30"/>
        <v>-0.5</v>
      </c>
      <c r="AR78" s="24">
        <v>2.9</v>
      </c>
      <c r="AS78" s="24">
        <v>6.9916599999999995</v>
      </c>
      <c r="AU78" s="25">
        <f t="shared" ca="1" si="31"/>
        <v>2.7</v>
      </c>
      <c r="BU78" s="4">
        <v>38</v>
      </c>
      <c r="BV78" s="4">
        <f t="shared" si="26"/>
        <v>3.1</v>
      </c>
    </row>
    <row r="79" spans="8:74" hidden="1" x14ac:dyDescent="0.25">
      <c r="AK79" s="24">
        <f>IF(AND($D$15&lt;&gt;"",MAX($AK$9:AK78)&lt;$D$15)=TRUE,AK78+0.5,"")</f>
        <v>35</v>
      </c>
      <c r="AL79" s="25">
        <f t="shared" ca="1" si="27"/>
        <v>2.8</v>
      </c>
      <c r="AN79" s="25">
        <f t="shared" ca="1" si="28"/>
        <v>2.8</v>
      </c>
      <c r="AO79" s="25">
        <f t="shared" ca="1" si="29"/>
        <v>3.1</v>
      </c>
      <c r="AP79" s="25">
        <f t="shared" ca="1" si="30"/>
        <v>-0.5</v>
      </c>
      <c r="AR79" s="24">
        <v>3</v>
      </c>
      <c r="AS79" s="24">
        <v>6.9939999999999998</v>
      </c>
      <c r="AU79" s="25">
        <f t="shared" ca="1" si="31"/>
        <v>2.7</v>
      </c>
      <c r="BU79" s="4">
        <v>38.5</v>
      </c>
      <c r="BV79" s="4">
        <f t="shared" si="26"/>
        <v>3.1</v>
      </c>
    </row>
    <row r="80" spans="8:74" hidden="1" x14ac:dyDescent="0.25">
      <c r="AK80" s="24">
        <f>IF(AND($D$15&lt;&gt;"",MAX($AK$9:AK79)&lt;$D$15)=TRUE,AK79+0.5,"")</f>
        <v>35.5</v>
      </c>
      <c r="AL80" s="25">
        <f t="shared" ca="1" si="27"/>
        <v>2.8</v>
      </c>
      <c r="AN80" s="25">
        <f t="shared" ca="1" si="28"/>
        <v>2.8</v>
      </c>
      <c r="AO80" s="25">
        <f t="shared" ca="1" si="29"/>
        <v>3.1</v>
      </c>
      <c r="AP80" s="25">
        <f t="shared" ca="1" si="30"/>
        <v>-0.5</v>
      </c>
      <c r="AR80" s="24">
        <v>3.1</v>
      </c>
      <c r="AS80" s="24">
        <v>6.9957399999999996</v>
      </c>
      <c r="AU80" s="25">
        <f t="shared" ca="1" si="31"/>
        <v>2.7</v>
      </c>
      <c r="BU80" s="4">
        <v>39</v>
      </c>
      <c r="BV80" s="4">
        <f t="shared" si="26"/>
        <v>3.2</v>
      </c>
    </row>
    <row r="81" spans="37:74" hidden="1" x14ac:dyDescent="0.25">
      <c r="AK81" s="24">
        <f>IF(AND($D$15&lt;&gt;"",MAX($AK$9:AK80)&lt;$D$15)=TRUE,AK80+0.5,"")</f>
        <v>36</v>
      </c>
      <c r="AL81" s="25">
        <f t="shared" ca="1" si="27"/>
        <v>2.8</v>
      </c>
      <c r="AN81" s="25">
        <f t="shared" ca="1" si="28"/>
        <v>2.8</v>
      </c>
      <c r="AO81" s="25">
        <f t="shared" ca="1" si="29"/>
        <v>3.2</v>
      </c>
      <c r="AP81" s="25">
        <f t="shared" ca="1" si="30"/>
        <v>-0.5</v>
      </c>
      <c r="AR81" s="24">
        <v>3.2</v>
      </c>
      <c r="AS81" s="24">
        <v>6.9969999999999999</v>
      </c>
      <c r="AU81" s="25">
        <f t="shared" ca="1" si="31"/>
        <v>2.7</v>
      </c>
      <c r="BU81" s="4">
        <v>39.5</v>
      </c>
      <c r="BV81" s="4">
        <f t="shared" si="26"/>
        <v>3.2</v>
      </c>
    </row>
    <row r="82" spans="37:74" hidden="1" x14ac:dyDescent="0.25">
      <c r="AK82" s="24">
        <f>IF(AND($D$15&lt;&gt;"",MAX($AK$9:AK81)&lt;$D$15)=TRUE,AK81+0.5,"")</f>
        <v>36.5</v>
      </c>
      <c r="AL82" s="25">
        <f t="shared" ca="1" si="27"/>
        <v>2.8</v>
      </c>
      <c r="AN82" s="25">
        <f t="shared" ca="1" si="28"/>
        <v>2.8</v>
      </c>
      <c r="AO82" s="25">
        <f t="shared" ca="1" si="29"/>
        <v>3.2</v>
      </c>
      <c r="AP82" s="25">
        <f t="shared" ca="1" si="30"/>
        <v>-0.5</v>
      </c>
      <c r="AR82" s="24">
        <v>3.3</v>
      </c>
      <c r="AS82" s="24">
        <v>6.9979000000000005</v>
      </c>
      <c r="AU82" s="25">
        <f t="shared" ca="1" si="31"/>
        <v>2.7</v>
      </c>
      <c r="BU82" s="4">
        <v>40</v>
      </c>
      <c r="BV82" s="4">
        <f t="shared" si="26"/>
        <v>3.2</v>
      </c>
    </row>
    <row r="83" spans="37:74" hidden="1" x14ac:dyDescent="0.25">
      <c r="AK83" s="24">
        <f>IF(AND($D$15&lt;&gt;"",MAX($AK$9:AK82)&lt;$D$15)=TRUE,AK82+0.5,"")</f>
        <v>37</v>
      </c>
      <c r="AL83" s="25">
        <f t="shared" ca="1" si="27"/>
        <v>2.9</v>
      </c>
      <c r="AN83" s="25">
        <f t="shared" ca="1" si="28"/>
        <v>2.9</v>
      </c>
      <c r="AO83" s="25">
        <f t="shared" ca="1" si="29"/>
        <v>3.2</v>
      </c>
      <c r="AP83" s="25">
        <f t="shared" ca="1" si="30"/>
        <v>-0.5</v>
      </c>
      <c r="AR83" s="24">
        <v>3.4</v>
      </c>
      <c r="AS83" s="24">
        <v>6.9985599999999994</v>
      </c>
      <c r="AU83" s="25">
        <f t="shared" ca="1" si="31"/>
        <v>2.7</v>
      </c>
      <c r="BU83" s="4">
        <v>40.5</v>
      </c>
      <c r="BV83" s="4">
        <f t="shared" si="26"/>
        <v>3.3</v>
      </c>
    </row>
    <row r="84" spans="37:74" hidden="1" x14ac:dyDescent="0.25">
      <c r="AK84" s="24">
        <f>IF(AND($D$15&lt;&gt;"",MAX($AK$9:AK83)&lt;$D$15)=TRUE,AK83+0.5,"")</f>
        <v>37.5</v>
      </c>
      <c r="AL84" s="25">
        <f t="shared" ca="1" si="27"/>
        <v>2.9</v>
      </c>
      <c r="AN84" s="25">
        <f t="shared" ca="1" si="28"/>
        <v>2.9</v>
      </c>
      <c r="AO84" s="25">
        <f t="shared" ca="1" si="29"/>
        <v>3.3</v>
      </c>
      <c r="AP84" s="25">
        <f t="shared" ca="1" si="30"/>
        <v>-0.4</v>
      </c>
      <c r="AR84" s="24">
        <v>3.5</v>
      </c>
      <c r="AS84" s="24">
        <v>6.9989799999999995</v>
      </c>
      <c r="AU84" s="25">
        <f t="shared" ca="1" si="31"/>
        <v>2.9</v>
      </c>
      <c r="BU84" s="4">
        <v>41</v>
      </c>
      <c r="BV84" s="4">
        <f t="shared" si="26"/>
        <v>3.3</v>
      </c>
    </row>
    <row r="85" spans="37:74" hidden="1" x14ac:dyDescent="0.25">
      <c r="AK85" s="24">
        <f>IF(AND($D$15&lt;&gt;"",MAX($AK$9:AK84)&lt;$D$15)=TRUE,AK84+0.5,"")</f>
        <v>38</v>
      </c>
      <c r="AL85" s="25">
        <f t="shared" ca="1" si="27"/>
        <v>2.9</v>
      </c>
      <c r="AN85" s="25">
        <f t="shared" ca="1" si="28"/>
        <v>2.9</v>
      </c>
      <c r="AO85" s="25">
        <f t="shared" ca="1" si="29"/>
        <v>3.3</v>
      </c>
      <c r="AP85" s="25">
        <f t="shared" ca="1" si="30"/>
        <v>-0.4</v>
      </c>
      <c r="AR85" s="24">
        <v>3.6</v>
      </c>
      <c r="AS85" s="24">
        <v>6.9993400000000001</v>
      </c>
      <c r="AU85" s="25">
        <f t="shared" ca="1" si="31"/>
        <v>2.9</v>
      </c>
      <c r="BU85" s="4">
        <v>41.5</v>
      </c>
      <c r="BV85" s="4">
        <f t="shared" si="26"/>
        <v>3.3</v>
      </c>
    </row>
    <row r="86" spans="37:74" hidden="1" x14ac:dyDescent="0.25">
      <c r="AK86" s="24">
        <f>IF(AND($D$15&lt;&gt;"",MAX($AK$9:AK85)&lt;$D$15)=TRUE,AK85+0.5,"")</f>
        <v>38.5</v>
      </c>
      <c r="AL86" s="25">
        <f t="shared" ca="1" si="27"/>
        <v>2.9</v>
      </c>
      <c r="AN86" s="25">
        <f t="shared" ca="1" si="28"/>
        <v>2.9</v>
      </c>
      <c r="AO86" s="25">
        <f t="shared" ca="1" si="29"/>
        <v>3.3</v>
      </c>
      <c r="AP86" s="25">
        <f t="shared" ca="1" si="30"/>
        <v>-0.4</v>
      </c>
      <c r="AR86" s="24">
        <v>3.7</v>
      </c>
      <c r="AS86" s="24">
        <v>6.9995200000000004</v>
      </c>
      <c r="AU86" s="25">
        <f t="shared" ca="1" si="31"/>
        <v>2.9</v>
      </c>
      <c r="BU86" s="4">
        <v>42</v>
      </c>
      <c r="BV86" s="4">
        <f t="shared" si="26"/>
        <v>3.3</v>
      </c>
    </row>
    <row r="87" spans="37:74" hidden="1" x14ac:dyDescent="0.25">
      <c r="AK87" s="24">
        <f>IF(AND($D$15&lt;&gt;"",MAX($AK$9:AK86)&lt;$D$15)=TRUE,AK86+0.5,"")</f>
        <v>39</v>
      </c>
      <c r="AL87" s="25">
        <f t="shared" ca="1" si="27"/>
        <v>3</v>
      </c>
      <c r="AN87" s="25">
        <f t="shared" ca="1" si="28"/>
        <v>3</v>
      </c>
      <c r="AO87" s="25">
        <f t="shared" ca="1" si="29"/>
        <v>3.3</v>
      </c>
      <c r="AP87" s="25">
        <f t="shared" ca="1" si="30"/>
        <v>-0.4</v>
      </c>
      <c r="AR87" s="24">
        <v>3.8</v>
      </c>
      <c r="AS87" s="24">
        <v>6.9996999999999998</v>
      </c>
      <c r="AU87" s="25">
        <f t="shared" ca="1" si="31"/>
        <v>2.9</v>
      </c>
      <c r="BU87" s="4">
        <v>42.5</v>
      </c>
      <c r="BV87" s="4">
        <f t="shared" si="26"/>
        <v>3.4</v>
      </c>
    </row>
    <row r="88" spans="37:74" hidden="1" x14ac:dyDescent="0.25">
      <c r="AK88" s="24">
        <f>IF(AND($D$15&lt;&gt;"",MAX($AK$9:AK87)&lt;$D$15)=TRUE,AK87+0.5,"")</f>
        <v>39.5</v>
      </c>
      <c r="AL88" s="25">
        <f t="shared" ca="1" si="27"/>
        <v>3</v>
      </c>
      <c r="AN88" s="25">
        <f t="shared" ca="1" si="28"/>
        <v>3</v>
      </c>
      <c r="AO88" s="25">
        <f t="shared" ca="1" si="29"/>
        <v>3.4</v>
      </c>
      <c r="AP88" s="25">
        <f t="shared" ca="1" si="30"/>
        <v>-0.3</v>
      </c>
      <c r="AR88" s="24">
        <v>3.9</v>
      </c>
      <c r="AS88" s="24">
        <v>6.9998199999999997</v>
      </c>
      <c r="AU88" s="25">
        <f t="shared" ca="1" si="31"/>
        <v>3.1</v>
      </c>
      <c r="BU88" s="4">
        <v>43</v>
      </c>
      <c r="BV88" s="4">
        <f t="shared" si="26"/>
        <v>3.4</v>
      </c>
    </row>
    <row r="89" spans="37:74" hidden="1" x14ac:dyDescent="0.25">
      <c r="AK89" s="24">
        <f>IF(AND($D$15&lt;&gt;"",MAX($AK$9:AK88)&lt;$D$15)=TRUE,AK88+0.5,"")</f>
        <v>40</v>
      </c>
      <c r="AL89" s="25">
        <f t="shared" ca="1" si="27"/>
        <v>3</v>
      </c>
      <c r="AN89" s="25">
        <f t="shared" ca="1" si="28"/>
        <v>3</v>
      </c>
      <c r="AO89" s="25">
        <f t="shared" ca="1" si="29"/>
        <v>3.4</v>
      </c>
      <c r="AP89" s="25">
        <f t="shared" ca="1" si="30"/>
        <v>-0.3</v>
      </c>
      <c r="AR89" s="24">
        <v>4</v>
      </c>
      <c r="AS89" s="24">
        <v>6.9998800000000001</v>
      </c>
      <c r="AU89" s="25">
        <f t="shared" ca="1" si="31"/>
        <v>3.1</v>
      </c>
      <c r="BU89" s="4">
        <v>43.5</v>
      </c>
      <c r="BV89" s="4">
        <f t="shared" si="26"/>
        <v>3.4</v>
      </c>
    </row>
    <row r="90" spans="37:74" hidden="1" x14ac:dyDescent="0.25">
      <c r="AK90" s="24">
        <f>IF(AND($D$15&lt;&gt;"",MAX($AK$9:AK89)&lt;$D$15)=TRUE,AK89+0.5,"")</f>
        <v>40.5</v>
      </c>
      <c r="AL90" s="25">
        <f t="shared" ca="1" si="27"/>
        <v>3</v>
      </c>
      <c r="AN90" s="25">
        <f t="shared" ca="1" si="28"/>
        <v>3</v>
      </c>
      <c r="AO90" s="25">
        <f t="shared" ca="1" si="29"/>
        <v>3.4</v>
      </c>
      <c r="AP90" s="25">
        <f t="shared" ca="1" si="30"/>
        <v>-0.3</v>
      </c>
      <c r="AU90" s="25">
        <f t="shared" ca="1" si="31"/>
        <v>3.1</v>
      </c>
      <c r="BU90" s="4">
        <v>44</v>
      </c>
      <c r="BV90" s="4">
        <f t="shared" si="26"/>
        <v>3.4</v>
      </c>
    </row>
    <row r="91" spans="37:74" hidden="1" x14ac:dyDescent="0.25">
      <c r="AK91" s="24">
        <f>IF(AND($D$15&lt;&gt;"",MAX($AK$9:AK90)&lt;$D$15)=TRUE,AK90+0.5,"")</f>
        <v>41</v>
      </c>
      <c r="AL91" s="25">
        <f t="shared" ca="1" si="27"/>
        <v>3.1</v>
      </c>
      <c r="AN91" s="25">
        <f t="shared" ca="1" si="28"/>
        <v>3.1</v>
      </c>
      <c r="AO91" s="25">
        <f t="shared" ca="1" si="29"/>
        <v>3.5</v>
      </c>
      <c r="AP91" s="25">
        <f t="shared" ca="1" si="30"/>
        <v>-0.3</v>
      </c>
      <c r="AU91" s="25">
        <f t="shared" ca="1" si="31"/>
        <v>3.1</v>
      </c>
      <c r="BU91" s="4">
        <v>44.5</v>
      </c>
      <c r="BV91" s="4">
        <f t="shared" si="26"/>
        <v>3.5</v>
      </c>
    </row>
    <row r="92" spans="37:74" hidden="1" x14ac:dyDescent="0.25">
      <c r="AK92" s="24">
        <f>IF(AND($D$15&lt;&gt;"",MAX($AK$9:AK91)&lt;$D$15)=TRUE,AK91+0.5,"")</f>
        <v>41.5</v>
      </c>
      <c r="AL92" s="25">
        <f t="shared" ca="1" si="27"/>
        <v>3.1</v>
      </c>
      <c r="AN92" s="25">
        <f t="shared" ca="1" si="28"/>
        <v>3.1</v>
      </c>
      <c r="AO92" s="25">
        <f t="shared" ca="1" si="29"/>
        <v>3.5</v>
      </c>
      <c r="AP92" s="25">
        <f t="shared" ca="1" si="30"/>
        <v>-0.3</v>
      </c>
      <c r="AU92" s="25">
        <f t="shared" ca="1" si="31"/>
        <v>3.1</v>
      </c>
      <c r="BU92" s="4">
        <v>45</v>
      </c>
      <c r="BV92" s="4">
        <f t="shared" si="26"/>
        <v>3.5</v>
      </c>
    </row>
    <row r="93" spans="37:74" hidden="1" x14ac:dyDescent="0.25">
      <c r="AK93" s="24">
        <f>IF(AND($D$15&lt;&gt;"",MAX($AK$9:AK92)&lt;$D$15)=TRUE,AK92+0.5,"")</f>
        <v>42</v>
      </c>
      <c r="AL93" s="25">
        <f t="shared" ca="1" si="27"/>
        <v>3.1</v>
      </c>
      <c r="AN93" s="25">
        <f t="shared" ca="1" si="28"/>
        <v>3.1</v>
      </c>
      <c r="AO93" s="25">
        <f t="shared" ca="1" si="29"/>
        <v>3.5</v>
      </c>
      <c r="AP93" s="25">
        <f t="shared" ca="1" si="30"/>
        <v>-0.3</v>
      </c>
      <c r="AU93" s="25">
        <f t="shared" ca="1" si="31"/>
        <v>3.1</v>
      </c>
      <c r="BU93" s="4">
        <v>45.5</v>
      </c>
      <c r="BV93" s="4">
        <f t="shared" si="26"/>
        <v>3.5</v>
      </c>
    </row>
    <row r="94" spans="37:74" hidden="1" x14ac:dyDescent="0.25">
      <c r="AK94" s="24">
        <f>IF(AND($D$15&lt;&gt;"",MAX($AK$9:AK93)&lt;$D$15)=TRUE,AK93+0.5,"")</f>
        <v>42.5</v>
      </c>
      <c r="AL94" s="25">
        <f t="shared" ca="1" si="27"/>
        <v>3.1</v>
      </c>
      <c r="AN94" s="25">
        <f t="shared" ca="1" si="28"/>
        <v>3.1</v>
      </c>
      <c r="AO94" s="25">
        <f t="shared" ca="1" si="29"/>
        <v>3.6</v>
      </c>
      <c r="AP94" s="25">
        <f t="shared" ca="1" si="30"/>
        <v>-0.2</v>
      </c>
      <c r="AU94" s="25">
        <f t="shared" ca="1" si="31"/>
        <v>3.3</v>
      </c>
      <c r="BU94" s="4">
        <v>46</v>
      </c>
      <c r="BV94" s="4">
        <f t="shared" si="26"/>
        <v>3.6</v>
      </c>
    </row>
    <row r="95" spans="37:74" hidden="1" x14ac:dyDescent="0.25">
      <c r="AK95" s="24">
        <f>IF(AND($D$15&lt;&gt;"",MAX($AK$9:AK94)&lt;$D$15)=TRUE,AK94+0.5,"")</f>
        <v>43</v>
      </c>
      <c r="AL95" s="25">
        <f t="shared" ca="1" si="27"/>
        <v>3.2</v>
      </c>
      <c r="AN95" s="25">
        <f t="shared" ca="1" si="28"/>
        <v>3.2</v>
      </c>
      <c r="AO95" s="25">
        <f t="shared" ca="1" si="29"/>
        <v>3.6</v>
      </c>
      <c r="AP95" s="25">
        <f t="shared" ca="1" si="30"/>
        <v>-0.2</v>
      </c>
      <c r="AU95" s="25">
        <f t="shared" ca="1" si="31"/>
        <v>3.3</v>
      </c>
      <c r="BU95" s="4">
        <v>46.5</v>
      </c>
      <c r="BV95" s="4">
        <f t="shared" si="26"/>
        <v>3.6</v>
      </c>
    </row>
    <row r="96" spans="37:74" hidden="1" x14ac:dyDescent="0.25">
      <c r="AK96" s="24">
        <f>IF(AND($D$15&lt;&gt;"",MAX($AK$9:AK95)&lt;$D$15)=TRUE,AK95+0.5,"")</f>
        <v>43.5</v>
      </c>
      <c r="AL96" s="25">
        <f t="shared" ca="1" si="27"/>
        <v>3.2</v>
      </c>
      <c r="AN96" s="25">
        <f t="shared" ca="1" si="28"/>
        <v>3.2</v>
      </c>
      <c r="AO96" s="25">
        <f t="shared" ca="1" si="29"/>
        <v>3.6</v>
      </c>
      <c r="AP96" s="25">
        <f t="shared" ca="1" si="30"/>
        <v>-0.2</v>
      </c>
      <c r="AU96" s="25">
        <f t="shared" ca="1" si="31"/>
        <v>3.3</v>
      </c>
      <c r="BU96" s="4">
        <v>47</v>
      </c>
      <c r="BV96" s="4">
        <f t="shared" si="26"/>
        <v>3.6</v>
      </c>
    </row>
    <row r="97" spans="37:74" hidden="1" x14ac:dyDescent="0.25">
      <c r="AK97" s="24">
        <f>IF(AND($D$15&lt;&gt;"",MAX($AK$9:AK96)&lt;$D$15)=TRUE,AK96+0.5,"")</f>
        <v>44</v>
      </c>
      <c r="AL97" s="25">
        <f t="shared" ca="1" si="27"/>
        <v>3.2</v>
      </c>
      <c r="AN97" s="25">
        <f t="shared" ca="1" si="28"/>
        <v>3.2</v>
      </c>
      <c r="AO97" s="25">
        <f t="shared" ca="1" si="29"/>
        <v>3.6</v>
      </c>
      <c r="AP97" s="25">
        <f t="shared" ca="1" si="30"/>
        <v>-0.2</v>
      </c>
      <c r="AU97" s="25">
        <f t="shared" ca="1" si="31"/>
        <v>3.3</v>
      </c>
      <c r="BU97" s="4">
        <v>47.5</v>
      </c>
      <c r="BV97" s="4">
        <f t="shared" si="26"/>
        <v>3.6</v>
      </c>
    </row>
    <row r="98" spans="37:74" hidden="1" x14ac:dyDescent="0.25">
      <c r="AK98" s="24">
        <f>IF(AND($D$15&lt;&gt;"",MAX($AK$9:AK97)&lt;$D$15)=TRUE,AK97+0.5,"")</f>
        <v>44.5</v>
      </c>
      <c r="AL98" s="25">
        <f t="shared" ca="1" si="27"/>
        <v>3.2</v>
      </c>
      <c r="AN98" s="25">
        <f t="shared" ca="1" si="28"/>
        <v>3.2</v>
      </c>
      <c r="AO98" s="25">
        <f t="shared" ca="1" si="29"/>
        <v>3.7</v>
      </c>
      <c r="AP98" s="25">
        <f t="shared" ca="1" si="30"/>
        <v>-0.2</v>
      </c>
      <c r="AU98" s="25">
        <f t="shared" ca="1" si="31"/>
        <v>3.3</v>
      </c>
      <c r="BU98" s="4">
        <v>48</v>
      </c>
      <c r="BV98" s="4">
        <f t="shared" si="26"/>
        <v>3.7</v>
      </c>
    </row>
    <row r="99" spans="37:74" hidden="1" x14ac:dyDescent="0.25">
      <c r="AK99" s="24">
        <f>IF(AND($D$15&lt;&gt;"",MAX($AK$9:AK98)&lt;$D$15)=TRUE,AK98+0.5,"")</f>
        <v>45</v>
      </c>
      <c r="AL99" s="25">
        <f t="shared" ca="1" si="27"/>
        <v>3.3</v>
      </c>
      <c r="AN99" s="25">
        <f t="shared" ca="1" si="28"/>
        <v>3.3</v>
      </c>
      <c r="AO99" s="25">
        <f t="shared" ca="1" si="29"/>
        <v>3.7</v>
      </c>
      <c r="AP99" s="25">
        <f t="shared" ca="1" si="30"/>
        <v>-0.2</v>
      </c>
      <c r="AU99" s="25">
        <f t="shared" ca="1" si="31"/>
        <v>3.3</v>
      </c>
      <c r="BU99" s="4">
        <v>48.5</v>
      </c>
      <c r="BV99" s="4">
        <f t="shared" si="26"/>
        <v>3.7</v>
      </c>
    </row>
    <row r="100" spans="37:74" hidden="1" x14ac:dyDescent="0.25">
      <c r="AK100" s="24">
        <f>IF(AND($D$15&lt;&gt;"",MAX($AK$9:AK99)&lt;$D$15)=TRUE,AK99+0.5,"")</f>
        <v>45.5</v>
      </c>
      <c r="AL100" s="25">
        <f t="shared" ca="1" si="27"/>
        <v>3.3</v>
      </c>
      <c r="AN100" s="25">
        <f t="shared" ca="1" si="28"/>
        <v>3.3</v>
      </c>
      <c r="AO100" s="25">
        <f t="shared" ca="1" si="29"/>
        <v>3.7</v>
      </c>
      <c r="AP100" s="25">
        <f t="shared" ca="1" si="30"/>
        <v>-0.2</v>
      </c>
      <c r="AU100" s="25">
        <f t="shared" ca="1" si="31"/>
        <v>3.3</v>
      </c>
      <c r="BU100" s="4">
        <v>49</v>
      </c>
      <c r="BV100" s="4">
        <f t="shared" si="26"/>
        <v>3.7</v>
      </c>
    </row>
    <row r="101" spans="37:74" hidden="1" x14ac:dyDescent="0.25">
      <c r="AK101" s="24">
        <f>IF(AND($D$15&lt;&gt;"",MAX($AK$9:AK100)&lt;$D$15)=TRUE,AK100+0.5,"")</f>
        <v>46</v>
      </c>
      <c r="AL101" s="25">
        <f t="shared" ca="1" si="27"/>
        <v>3.3</v>
      </c>
      <c r="AN101" s="25">
        <f t="shared" ca="1" si="28"/>
        <v>3.3</v>
      </c>
      <c r="AO101" s="25">
        <f t="shared" ca="1" si="29"/>
        <v>3.8</v>
      </c>
      <c r="AP101" s="25">
        <f t="shared" ca="1" si="30"/>
        <v>-0.1</v>
      </c>
      <c r="AU101" s="25">
        <f t="shared" ca="1" si="31"/>
        <v>3.5</v>
      </c>
      <c r="BU101" s="4">
        <v>49.5</v>
      </c>
      <c r="BV101" s="4">
        <f t="shared" si="26"/>
        <v>3.8</v>
      </c>
    </row>
    <row r="102" spans="37:74" hidden="1" x14ac:dyDescent="0.25">
      <c r="AK102" s="24">
        <f>IF(AND($D$15&lt;&gt;"",MAX($AK$9:AK101)&lt;$D$15)=TRUE,AK101+0.5,"")</f>
        <v>46.5</v>
      </c>
      <c r="AL102" s="25">
        <f t="shared" ca="1" si="27"/>
        <v>3.3</v>
      </c>
      <c r="AN102" s="25">
        <f t="shared" ca="1" si="28"/>
        <v>3.3</v>
      </c>
      <c r="AO102" s="25">
        <f t="shared" ca="1" si="29"/>
        <v>3.8</v>
      </c>
      <c r="AP102" s="25">
        <f t="shared" ca="1" si="30"/>
        <v>-0.1</v>
      </c>
      <c r="AU102" s="25">
        <f t="shared" ca="1" si="31"/>
        <v>3.5</v>
      </c>
      <c r="BU102" s="4">
        <v>50</v>
      </c>
      <c r="BV102" s="4">
        <f t="shared" si="26"/>
        <v>3.8</v>
      </c>
    </row>
    <row r="103" spans="37:74" hidden="1" x14ac:dyDescent="0.25">
      <c r="AK103" s="24">
        <f>IF(AND($D$15&lt;&gt;"",MAX($AK$9:AK102)&lt;$D$15)=TRUE,AK102+0.5,"")</f>
        <v>47</v>
      </c>
      <c r="AL103" s="25">
        <f t="shared" ca="1" si="27"/>
        <v>3.4</v>
      </c>
      <c r="AN103" s="25">
        <f t="shared" ca="1" si="28"/>
        <v>3.4</v>
      </c>
      <c r="AO103" s="25">
        <f t="shared" ca="1" si="29"/>
        <v>3.8</v>
      </c>
      <c r="AP103" s="25">
        <f t="shared" ca="1" si="30"/>
        <v>-0.1</v>
      </c>
      <c r="AU103" s="25">
        <f t="shared" ca="1" si="31"/>
        <v>3.5</v>
      </c>
      <c r="BU103" s="4">
        <v>50.5</v>
      </c>
      <c r="BV103" s="4">
        <f t="shared" si="26"/>
        <v>3.8</v>
      </c>
    </row>
    <row r="104" spans="37:74" hidden="1" x14ac:dyDescent="0.25">
      <c r="AK104" s="24">
        <f>IF(AND($D$15&lt;&gt;"",MAX($AK$9:AK103)&lt;$D$15)=TRUE,AK103+0.5,"")</f>
        <v>47.5</v>
      </c>
      <c r="AL104" s="25">
        <f t="shared" ca="1" si="27"/>
        <v>3.4</v>
      </c>
      <c r="AN104" s="25">
        <f t="shared" ca="1" si="28"/>
        <v>3.4</v>
      </c>
      <c r="AO104" s="25">
        <f t="shared" ca="1" si="29"/>
        <v>3.9</v>
      </c>
      <c r="AP104" s="25">
        <f t="shared" ca="1" si="30"/>
        <v>-0.1</v>
      </c>
      <c r="AU104" s="25">
        <f t="shared" ca="1" si="31"/>
        <v>3.5</v>
      </c>
      <c r="BU104" s="4">
        <v>51</v>
      </c>
      <c r="BV104" s="4">
        <f t="shared" si="26"/>
        <v>3.8</v>
      </c>
    </row>
    <row r="105" spans="37:74" hidden="1" x14ac:dyDescent="0.25">
      <c r="AK105" s="24">
        <f>IF(AND($D$15&lt;&gt;"",MAX($AK$9:AK104)&lt;$D$15)=TRUE,AK104+0.5,"")</f>
        <v>48</v>
      </c>
      <c r="AL105" s="25">
        <f t="shared" ca="1" si="27"/>
        <v>3.4</v>
      </c>
      <c r="AN105" s="25">
        <f t="shared" ca="1" si="28"/>
        <v>3.4</v>
      </c>
      <c r="AO105" s="25">
        <f t="shared" ca="1" si="29"/>
        <v>3.9</v>
      </c>
      <c r="AP105" s="25">
        <f t="shared" ca="1" si="30"/>
        <v>-0.1</v>
      </c>
      <c r="AU105" s="25">
        <f t="shared" ca="1" si="31"/>
        <v>3.5</v>
      </c>
      <c r="BU105" s="4">
        <v>51.5</v>
      </c>
      <c r="BV105" s="4">
        <f t="shared" si="26"/>
        <v>3.9</v>
      </c>
    </row>
    <row r="106" spans="37:74" hidden="1" x14ac:dyDescent="0.25">
      <c r="AK106" s="24">
        <f>IF(AND($D$15&lt;&gt;"",MAX($AK$9:AK105)&lt;$D$15)=TRUE,AK105+0.5,"")</f>
        <v>48.5</v>
      </c>
      <c r="AL106" s="25">
        <f t="shared" ca="1" si="27"/>
        <v>3.4</v>
      </c>
      <c r="AN106" s="25">
        <f t="shared" ca="1" si="28"/>
        <v>3.4</v>
      </c>
      <c r="AO106" s="25">
        <f t="shared" ca="1" si="29"/>
        <v>3.9</v>
      </c>
      <c r="AP106" s="25">
        <f t="shared" ca="1" si="30"/>
        <v>-0.1</v>
      </c>
      <c r="AU106" s="25">
        <f t="shared" ca="1" si="31"/>
        <v>3.5</v>
      </c>
      <c r="BU106" s="4">
        <v>52</v>
      </c>
      <c r="BV106" s="4">
        <f t="shared" si="26"/>
        <v>3.9</v>
      </c>
    </row>
    <row r="107" spans="37:74" hidden="1" x14ac:dyDescent="0.25">
      <c r="AK107" s="24">
        <f>IF(AND($D$15&lt;&gt;"",MAX($AK$9:AK106)&lt;$D$15)=TRUE,AK106+0.5,"")</f>
        <v>49</v>
      </c>
      <c r="AL107" s="25">
        <f t="shared" ca="1" si="27"/>
        <v>3.5</v>
      </c>
      <c r="AN107" s="25">
        <f t="shared" ca="1" si="28"/>
        <v>3.5</v>
      </c>
      <c r="AO107" s="25">
        <f t="shared" ca="1" si="29"/>
        <v>3.9</v>
      </c>
      <c r="AP107" s="25">
        <f t="shared" ca="1" si="30"/>
        <v>-0.1</v>
      </c>
      <c r="AU107" s="25">
        <f t="shared" ca="1" si="31"/>
        <v>3.5</v>
      </c>
      <c r="BU107" s="4">
        <v>52.5</v>
      </c>
      <c r="BV107" s="4">
        <f t="shared" si="26"/>
        <v>3.9</v>
      </c>
    </row>
    <row r="108" spans="37:74" hidden="1" x14ac:dyDescent="0.25">
      <c r="AK108" s="24">
        <f>IF(AND($D$15&lt;&gt;"",MAX($AK$9:AK107)&lt;$D$15)=TRUE,AK107+0.5,"")</f>
        <v>49.5</v>
      </c>
      <c r="AL108" s="25">
        <f t="shared" ca="1" si="27"/>
        <v>3.5</v>
      </c>
      <c r="AN108" s="25">
        <f t="shared" ca="1" si="28"/>
        <v>3.5</v>
      </c>
      <c r="AO108" s="25">
        <f t="shared" ca="1" si="29"/>
        <v>4</v>
      </c>
      <c r="AP108" s="25">
        <f t="shared" ca="1" si="30"/>
        <v>0</v>
      </c>
      <c r="AU108" s="25">
        <f t="shared" ca="1" si="31"/>
        <v>4.2</v>
      </c>
      <c r="BU108" s="4">
        <v>53</v>
      </c>
      <c r="BV108" s="4">
        <f t="shared" si="26"/>
        <v>3.9</v>
      </c>
    </row>
    <row r="109" spans="37:74" hidden="1" x14ac:dyDescent="0.25">
      <c r="AK109" s="24">
        <f>IF(AND($D$15&lt;&gt;"",MAX($AK$9:AK108)&lt;$D$15)=TRUE,AK108+0.5,"")</f>
        <v>50</v>
      </c>
      <c r="AL109" s="25">
        <f t="shared" ca="1" si="27"/>
        <v>3.5</v>
      </c>
      <c r="AN109" s="25">
        <f t="shared" ca="1" si="28"/>
        <v>3.5</v>
      </c>
      <c r="AO109" s="25">
        <f t="shared" ca="1" si="29"/>
        <v>4</v>
      </c>
      <c r="AP109" s="25">
        <f t="shared" ca="1" si="30"/>
        <v>0</v>
      </c>
      <c r="AU109" s="25">
        <f t="shared" ca="1" si="31"/>
        <v>4.2</v>
      </c>
      <c r="BU109" s="4">
        <v>53.5</v>
      </c>
      <c r="BV109" s="4">
        <f t="shared" si="26"/>
        <v>4</v>
      </c>
    </row>
    <row r="110" spans="37:74" hidden="1" x14ac:dyDescent="0.25">
      <c r="AK110" s="24">
        <f>IF(AND($D$15&lt;&gt;"",MAX($AK$9:AK109)&lt;$D$15)=TRUE,AK109+0.5,"")</f>
        <v>50.5</v>
      </c>
      <c r="AL110" s="25">
        <f t="shared" ca="1" si="27"/>
        <v>3.5</v>
      </c>
      <c r="AN110" s="25">
        <f t="shared" ca="1" si="28"/>
        <v>3.5</v>
      </c>
      <c r="AO110" s="25">
        <f t="shared" ca="1" si="29"/>
        <v>4</v>
      </c>
      <c r="AP110" s="25">
        <f t="shared" ca="1" si="30"/>
        <v>0</v>
      </c>
      <c r="AU110" s="25">
        <f t="shared" ca="1" si="31"/>
        <v>4.2</v>
      </c>
      <c r="BU110" s="4">
        <v>54</v>
      </c>
      <c r="BV110" s="4">
        <f t="shared" si="26"/>
        <v>4</v>
      </c>
    </row>
    <row r="111" spans="37:74" hidden="1" x14ac:dyDescent="0.25">
      <c r="AK111" s="24">
        <f>IF(AND($D$15&lt;&gt;"",MAX($AK$9:AK110)&lt;$D$15)=TRUE,AK110+0.5,"")</f>
        <v>51</v>
      </c>
      <c r="AL111" s="25">
        <f t="shared" ca="1" si="27"/>
        <v>3.6</v>
      </c>
      <c r="AN111" s="25">
        <f t="shared" ca="1" si="28"/>
        <v>3.6</v>
      </c>
      <c r="AO111" s="25">
        <f t="shared" ca="1" si="29"/>
        <v>4.0999999999999996</v>
      </c>
      <c r="AP111" s="25">
        <f t="shared" ca="1" si="30"/>
        <v>0.1</v>
      </c>
      <c r="AU111" s="25">
        <f t="shared" ca="1" si="31"/>
        <v>4.5</v>
      </c>
      <c r="BU111" s="4">
        <v>54.5</v>
      </c>
      <c r="BV111" s="4">
        <f t="shared" si="26"/>
        <v>4</v>
      </c>
    </row>
    <row r="112" spans="37:74" hidden="1" x14ac:dyDescent="0.25">
      <c r="AK112" s="24">
        <f>IF(AND($D$15&lt;&gt;"",MAX($AK$9:AK111)&lt;$D$15)=TRUE,AK111+0.5,"")</f>
        <v>51.5</v>
      </c>
      <c r="AL112" s="25">
        <f t="shared" ca="1" si="27"/>
        <v>3.6</v>
      </c>
      <c r="AN112" s="25">
        <f t="shared" ca="1" si="28"/>
        <v>3.6</v>
      </c>
      <c r="AO112" s="25">
        <f t="shared" ca="1" si="29"/>
        <v>4.0999999999999996</v>
      </c>
      <c r="AP112" s="25">
        <f t="shared" ca="1" si="30"/>
        <v>0.1</v>
      </c>
      <c r="AU112" s="25">
        <f t="shared" ca="1" si="31"/>
        <v>4.5</v>
      </c>
      <c r="BU112" s="4">
        <v>55</v>
      </c>
      <c r="BV112" s="4">
        <f t="shared" si="26"/>
        <v>4.0999999999999996</v>
      </c>
    </row>
    <row r="113" spans="37:74" hidden="1" x14ac:dyDescent="0.25">
      <c r="AK113" s="24">
        <f>IF(AND($D$15&lt;&gt;"",MAX($AK$9:AK112)&lt;$D$15)=TRUE,AK112+0.5,"")</f>
        <v>52</v>
      </c>
      <c r="AL113" s="25">
        <f t="shared" ca="1" si="27"/>
        <v>3.6</v>
      </c>
      <c r="AN113" s="25">
        <f t="shared" ca="1" si="28"/>
        <v>3.6</v>
      </c>
      <c r="AO113" s="25">
        <f t="shared" ca="1" si="29"/>
        <v>4.0999999999999996</v>
      </c>
      <c r="AP113" s="25">
        <f t="shared" ca="1" si="30"/>
        <v>0.1</v>
      </c>
      <c r="AU113" s="25">
        <f t="shared" ca="1" si="31"/>
        <v>4.5</v>
      </c>
      <c r="BU113" s="4">
        <v>55.5</v>
      </c>
      <c r="BV113" s="4">
        <f t="shared" si="26"/>
        <v>4.0999999999999996</v>
      </c>
    </row>
    <row r="114" spans="37:74" hidden="1" x14ac:dyDescent="0.25">
      <c r="AK114" s="24">
        <f>IF(AND($D$15&lt;&gt;"",MAX($AK$9:AK113)&lt;$D$15)=TRUE,AK113+0.5,"")</f>
        <v>52.5</v>
      </c>
      <c r="AL114" s="25">
        <f t="shared" ca="1" si="27"/>
        <v>3.6</v>
      </c>
      <c r="AN114" s="25">
        <f t="shared" ca="1" si="28"/>
        <v>3.6</v>
      </c>
      <c r="AO114" s="25">
        <f t="shared" ca="1" si="29"/>
        <v>4.2</v>
      </c>
      <c r="AP114" s="25">
        <f t="shared" ca="1" si="30"/>
        <v>0.1</v>
      </c>
      <c r="AU114" s="25">
        <f t="shared" ca="1" si="31"/>
        <v>4.5</v>
      </c>
      <c r="BU114" s="4">
        <v>56</v>
      </c>
      <c r="BV114" s="4">
        <f t="shared" si="26"/>
        <v>4.2</v>
      </c>
    </row>
    <row r="115" spans="37:74" hidden="1" x14ac:dyDescent="0.25">
      <c r="AK115" s="24">
        <f>IF(AND($D$15&lt;&gt;"",MAX($AK$9:AK114)&lt;$D$15)=TRUE,AK114+0.5,"")</f>
        <v>53</v>
      </c>
      <c r="AL115" s="25">
        <f t="shared" ca="1" si="27"/>
        <v>3.7</v>
      </c>
      <c r="AN115" s="25">
        <f t="shared" ca="1" si="28"/>
        <v>3.7</v>
      </c>
      <c r="AO115" s="25">
        <f t="shared" ca="1" si="29"/>
        <v>4.2</v>
      </c>
      <c r="AP115" s="25">
        <f t="shared" ca="1" si="30"/>
        <v>0.1</v>
      </c>
      <c r="AU115" s="25">
        <f t="shared" ca="1" si="31"/>
        <v>4.5</v>
      </c>
      <c r="BU115" s="4">
        <v>56.5</v>
      </c>
      <c r="BV115" s="4">
        <f t="shared" si="26"/>
        <v>4.2</v>
      </c>
    </row>
    <row r="116" spans="37:74" hidden="1" x14ac:dyDescent="0.25">
      <c r="AK116" s="24">
        <f>IF(AND($D$15&lt;&gt;"",MAX($AK$9:AK115)&lt;$D$15)=TRUE,AK115+0.5,"")</f>
        <v>53.5</v>
      </c>
      <c r="AL116" s="25">
        <f t="shared" ca="1" si="27"/>
        <v>3.7</v>
      </c>
      <c r="AN116" s="25">
        <f t="shared" ca="1" si="28"/>
        <v>3.7</v>
      </c>
      <c r="AO116" s="25">
        <f t="shared" ca="1" si="29"/>
        <v>4.2</v>
      </c>
      <c r="AP116" s="25">
        <f t="shared" ca="1" si="30"/>
        <v>0.1</v>
      </c>
      <c r="AU116" s="25">
        <f t="shared" ca="1" si="31"/>
        <v>4.5</v>
      </c>
      <c r="BU116" s="4">
        <v>57</v>
      </c>
      <c r="BV116" s="4">
        <f t="shared" si="26"/>
        <v>4.3</v>
      </c>
    </row>
    <row r="117" spans="37:74" hidden="1" x14ac:dyDescent="0.25">
      <c r="AK117" s="24">
        <f>IF(AND($D$15&lt;&gt;"",MAX($AK$9:AK116)&lt;$D$15)=TRUE,AK116+0.5,"")</f>
        <v>54</v>
      </c>
      <c r="AL117" s="25">
        <f t="shared" ca="1" si="27"/>
        <v>3.7</v>
      </c>
      <c r="AN117" s="25">
        <f t="shared" ca="1" si="28"/>
        <v>3.7</v>
      </c>
      <c r="AO117" s="25">
        <f t="shared" ca="1" si="29"/>
        <v>4.2</v>
      </c>
      <c r="AP117" s="25">
        <f t="shared" ca="1" si="30"/>
        <v>0.1</v>
      </c>
      <c r="AU117" s="25">
        <f t="shared" ca="1" si="31"/>
        <v>4.5</v>
      </c>
      <c r="BU117" s="4">
        <v>57.5</v>
      </c>
      <c r="BV117" s="4">
        <f t="shared" si="26"/>
        <v>4.3</v>
      </c>
    </row>
    <row r="118" spans="37:74" hidden="1" x14ac:dyDescent="0.25">
      <c r="AK118" s="24">
        <f>IF(AND($D$15&lt;&gt;"",MAX($AK$9:AK117)&lt;$D$15)=TRUE,AK117+0.5,"")</f>
        <v>54.5</v>
      </c>
      <c r="AL118" s="25">
        <f t="shared" ca="1" si="27"/>
        <v>3.7</v>
      </c>
      <c r="AN118" s="25">
        <f t="shared" ca="1" si="28"/>
        <v>3.7</v>
      </c>
      <c r="AO118" s="25">
        <f t="shared" ca="1" si="29"/>
        <v>4.3</v>
      </c>
      <c r="AP118" s="25">
        <f t="shared" ca="1" si="30"/>
        <v>0.2</v>
      </c>
      <c r="AU118" s="25">
        <f t="shared" ca="1" si="31"/>
        <v>4.7</v>
      </c>
      <c r="BU118" s="4">
        <v>58</v>
      </c>
      <c r="BV118" s="4">
        <f t="shared" si="26"/>
        <v>4.3</v>
      </c>
    </row>
    <row r="119" spans="37:74" hidden="1" x14ac:dyDescent="0.25">
      <c r="AK119" s="24">
        <f>IF(AND($D$15&lt;&gt;"",MAX($AK$9:AK118)&lt;$D$15)=TRUE,AK118+0.5,"")</f>
        <v>55</v>
      </c>
      <c r="AL119" s="25">
        <f t="shared" ca="1" si="27"/>
        <v>3.8</v>
      </c>
      <c r="AN119" s="25">
        <f t="shared" ca="1" si="28"/>
        <v>3.8</v>
      </c>
      <c r="AO119" s="25">
        <f t="shared" ca="1" si="29"/>
        <v>4.3</v>
      </c>
      <c r="AP119" s="25">
        <f t="shared" ca="1" si="30"/>
        <v>0.2</v>
      </c>
      <c r="AU119" s="25">
        <f t="shared" ca="1" si="31"/>
        <v>4.7</v>
      </c>
      <c r="BU119" s="4">
        <v>58.5</v>
      </c>
      <c r="BV119" s="4">
        <f t="shared" si="26"/>
        <v>4.4000000000000004</v>
      </c>
    </row>
    <row r="120" spans="37:74" hidden="1" x14ac:dyDescent="0.25">
      <c r="AK120" s="24">
        <f>IF(AND($D$15&lt;&gt;"",MAX($AK$9:AK119)&lt;$D$15)=TRUE,AK119+0.5,"")</f>
        <v>55.5</v>
      </c>
      <c r="AL120" s="25">
        <f t="shared" ca="1" si="27"/>
        <v>3.8</v>
      </c>
      <c r="AN120" s="25">
        <f t="shared" ca="1" si="28"/>
        <v>3.8</v>
      </c>
      <c r="AO120" s="25">
        <f t="shared" ca="1" si="29"/>
        <v>4.3</v>
      </c>
      <c r="AP120" s="25">
        <f t="shared" ca="1" si="30"/>
        <v>0.2</v>
      </c>
      <c r="AU120" s="25">
        <f t="shared" ca="1" si="31"/>
        <v>4.7</v>
      </c>
      <c r="BU120" s="4">
        <v>59</v>
      </c>
      <c r="BV120" s="4">
        <f t="shared" si="26"/>
        <v>4.4000000000000004</v>
      </c>
    </row>
    <row r="121" spans="37:74" hidden="1" x14ac:dyDescent="0.25">
      <c r="AK121" s="24">
        <f>IF(AND($D$15&lt;&gt;"",MAX($AK$9:AK120)&lt;$D$15)=TRUE,AK120+0.5,"")</f>
        <v>56</v>
      </c>
      <c r="AL121" s="25">
        <f t="shared" ca="1" si="27"/>
        <v>3.8</v>
      </c>
      <c r="AN121" s="25">
        <f t="shared" ca="1" si="28"/>
        <v>3.8</v>
      </c>
      <c r="AO121" s="25">
        <f t="shared" ca="1" si="29"/>
        <v>4.4000000000000004</v>
      </c>
      <c r="AP121" s="25">
        <f t="shared" ca="1" si="30"/>
        <v>0.2</v>
      </c>
      <c r="AU121" s="25">
        <f t="shared" ca="1" si="31"/>
        <v>4.7</v>
      </c>
      <c r="BU121" s="4">
        <v>59.5</v>
      </c>
      <c r="BV121" s="4">
        <f t="shared" si="26"/>
        <v>4.5</v>
      </c>
    </row>
    <row r="122" spans="37:74" hidden="1" x14ac:dyDescent="0.25">
      <c r="AK122" s="24">
        <f>IF(AND($D$15&lt;&gt;"",MAX($AK$9:AK121)&lt;$D$15)=TRUE,AK121+0.5,"")</f>
        <v>56.5</v>
      </c>
      <c r="AL122" s="25">
        <f t="shared" ca="1" si="27"/>
        <v>3.8</v>
      </c>
      <c r="AN122" s="25">
        <f t="shared" ca="1" si="28"/>
        <v>3.8</v>
      </c>
      <c r="AO122" s="25">
        <f t="shared" ca="1" si="29"/>
        <v>4.4000000000000004</v>
      </c>
      <c r="AP122" s="25">
        <f t="shared" ca="1" si="30"/>
        <v>0.2</v>
      </c>
      <c r="AU122" s="25">
        <f t="shared" ca="1" si="31"/>
        <v>4.7</v>
      </c>
      <c r="BU122" s="4">
        <v>60</v>
      </c>
      <c r="BV122" s="4">
        <f t="shared" si="26"/>
        <v>4.5</v>
      </c>
    </row>
    <row r="123" spans="37:74" hidden="1" x14ac:dyDescent="0.25">
      <c r="AK123" s="24">
        <f>IF(AND($D$15&lt;&gt;"",MAX($AK$9:AK122)&lt;$D$15)=TRUE,AK122+0.5,"")</f>
        <v>57</v>
      </c>
      <c r="AL123" s="25">
        <f t="shared" ca="1" si="27"/>
        <v>3.9</v>
      </c>
      <c r="AN123" s="25">
        <f t="shared" ca="1" si="28"/>
        <v>3.9</v>
      </c>
      <c r="AO123" s="25">
        <f t="shared" ca="1" si="29"/>
        <v>4.4000000000000004</v>
      </c>
      <c r="AP123" s="25">
        <f t="shared" ca="1" si="30"/>
        <v>0.2</v>
      </c>
      <c r="AU123" s="25">
        <f t="shared" ca="1" si="31"/>
        <v>4.7</v>
      </c>
      <c r="BU123" s="4">
        <v>60.5</v>
      </c>
      <c r="BV123" s="4">
        <f t="shared" si="26"/>
        <v>4.5</v>
      </c>
    </row>
    <row r="124" spans="37:74" hidden="1" x14ac:dyDescent="0.25">
      <c r="AK124" s="24">
        <f>IF(AND($D$15&lt;&gt;"",MAX($AK$9:AK123)&lt;$D$15)=TRUE,AK123+0.5,"")</f>
        <v>57.5</v>
      </c>
      <c r="AL124" s="25">
        <f t="shared" ca="1" si="27"/>
        <v>3.9</v>
      </c>
      <c r="AN124" s="25">
        <f t="shared" ca="1" si="28"/>
        <v>3.9</v>
      </c>
      <c r="AO124" s="25">
        <f t="shared" ca="1" si="29"/>
        <v>4.5</v>
      </c>
      <c r="AP124" s="25">
        <f t="shared" ca="1" si="30"/>
        <v>0.3</v>
      </c>
      <c r="AU124" s="25">
        <f t="shared" ca="1" si="31"/>
        <v>4.9000000000000004</v>
      </c>
      <c r="BU124" s="4">
        <v>61</v>
      </c>
      <c r="BV124" s="4">
        <f t="shared" si="26"/>
        <v>4.5999999999999996</v>
      </c>
    </row>
    <row r="125" spans="37:74" hidden="1" x14ac:dyDescent="0.25">
      <c r="AK125" s="24">
        <f>IF(AND($D$15&lt;&gt;"",MAX($AK$9:AK124)&lt;$D$15)=TRUE,AK124+0.5,"")</f>
        <v>58</v>
      </c>
      <c r="AL125" s="25">
        <f t="shared" ca="1" si="27"/>
        <v>3.9</v>
      </c>
      <c r="AN125" s="25">
        <f t="shared" ca="1" si="28"/>
        <v>3.9</v>
      </c>
      <c r="AO125" s="25">
        <f t="shared" ca="1" si="29"/>
        <v>4.5</v>
      </c>
      <c r="AP125" s="25">
        <f t="shared" ca="1" si="30"/>
        <v>0.3</v>
      </c>
      <c r="AU125" s="25">
        <f t="shared" ca="1" si="31"/>
        <v>4.9000000000000004</v>
      </c>
      <c r="BU125" s="4">
        <v>61.5</v>
      </c>
      <c r="BV125" s="4">
        <f t="shared" si="26"/>
        <v>4.5999999999999996</v>
      </c>
    </row>
    <row r="126" spans="37:74" hidden="1" x14ac:dyDescent="0.25">
      <c r="AK126" s="24">
        <f>IF(AND($D$15&lt;&gt;"",MAX($AK$9:AK125)&lt;$D$15)=TRUE,AK125+0.5,"")</f>
        <v>58.5</v>
      </c>
      <c r="AL126" s="25">
        <f t="shared" ca="1" si="27"/>
        <v>3.9</v>
      </c>
      <c r="AN126" s="25">
        <f t="shared" ca="1" si="28"/>
        <v>3.9</v>
      </c>
      <c r="AO126" s="25">
        <f t="shared" ca="1" si="29"/>
        <v>4.5</v>
      </c>
      <c r="AP126" s="25">
        <f t="shared" ca="1" si="30"/>
        <v>0.3</v>
      </c>
      <c r="AU126" s="25">
        <f t="shared" ca="1" si="31"/>
        <v>4.9000000000000004</v>
      </c>
      <c r="BU126" s="4">
        <v>62</v>
      </c>
      <c r="BV126" s="4">
        <f t="shared" si="26"/>
        <v>4.7</v>
      </c>
    </row>
    <row r="127" spans="37:74" hidden="1" x14ac:dyDescent="0.25">
      <c r="AK127" s="24">
        <f>IF(AND($D$15&lt;&gt;"",MAX($AK$9:AK126)&lt;$D$15)=TRUE,AK126+0.5,"")</f>
        <v>59</v>
      </c>
      <c r="AL127" s="25">
        <f t="shared" ca="1" si="27"/>
        <v>4</v>
      </c>
      <c r="AN127" s="25">
        <f t="shared" ca="1" si="28"/>
        <v>4</v>
      </c>
      <c r="AO127" s="25">
        <f t="shared" ca="1" si="29"/>
        <v>4.5</v>
      </c>
      <c r="AP127" s="25">
        <f t="shared" ca="1" si="30"/>
        <v>0.3</v>
      </c>
      <c r="AU127" s="25">
        <f t="shared" ca="1" si="31"/>
        <v>4.9000000000000004</v>
      </c>
      <c r="BU127" s="4">
        <v>62.5</v>
      </c>
      <c r="BV127" s="4">
        <f t="shared" si="26"/>
        <v>4.7</v>
      </c>
    </row>
    <row r="128" spans="37:74" hidden="1" x14ac:dyDescent="0.25">
      <c r="AK128" s="24">
        <f>IF(AND($D$15&lt;&gt;"",MAX($AK$9:AK127)&lt;$D$15)=TRUE,AK127+0.5,"")</f>
        <v>59.5</v>
      </c>
      <c r="AL128" s="25">
        <f t="shared" ca="1" si="27"/>
        <v>4</v>
      </c>
      <c r="AN128" s="25">
        <f t="shared" ca="1" si="28"/>
        <v>4</v>
      </c>
      <c r="AO128" s="25">
        <f t="shared" ca="1" si="29"/>
        <v>4.5999999999999996</v>
      </c>
      <c r="AP128" s="25">
        <f t="shared" ca="1" si="30"/>
        <v>0.3</v>
      </c>
      <c r="AU128" s="25">
        <f t="shared" ca="1" si="31"/>
        <v>4.9000000000000004</v>
      </c>
      <c r="BU128" s="4">
        <v>63</v>
      </c>
      <c r="BV128" s="4">
        <f t="shared" si="26"/>
        <v>4.8</v>
      </c>
    </row>
    <row r="129" spans="37:74" hidden="1" x14ac:dyDescent="0.25">
      <c r="AK129" s="24">
        <f>IF(AND($D$15&lt;&gt;"",MAX($AK$9:AK128)&lt;$D$15)=TRUE,AK128+0.5,"")</f>
        <v>60</v>
      </c>
      <c r="AL129" s="25">
        <f t="shared" ca="1" si="27"/>
        <v>4</v>
      </c>
      <c r="AN129" s="25">
        <f t="shared" ca="1" si="28"/>
        <v>4</v>
      </c>
      <c r="AO129" s="25">
        <f t="shared" ca="1" si="29"/>
        <v>4.5999999999999996</v>
      </c>
      <c r="AP129" s="25">
        <f t="shared" ca="1" si="30"/>
        <v>0.3</v>
      </c>
      <c r="AU129" s="25">
        <f t="shared" ca="1" si="31"/>
        <v>4.9000000000000004</v>
      </c>
      <c r="BU129" s="4">
        <v>63.5</v>
      </c>
      <c r="BV129" s="4">
        <f t="shared" si="26"/>
        <v>4.8</v>
      </c>
    </row>
    <row r="130" spans="37:74" hidden="1" x14ac:dyDescent="0.25">
      <c r="AK130" s="24">
        <f>IF(AND($D$15&lt;&gt;"",MAX($AK$9:AK129)&lt;$D$15)=TRUE,AK129+0.5,"")</f>
        <v>60.5</v>
      </c>
      <c r="AL130" s="25">
        <f t="shared" ca="1" si="27"/>
        <v>4</v>
      </c>
      <c r="AN130" s="25">
        <f t="shared" ca="1" si="28"/>
        <v>4</v>
      </c>
      <c r="AO130" s="25">
        <f t="shared" ca="1" si="29"/>
        <v>4.5999999999999996</v>
      </c>
      <c r="AP130" s="25">
        <f t="shared" ca="1" si="30"/>
        <v>0.3</v>
      </c>
      <c r="AU130" s="25">
        <f t="shared" ca="1" si="31"/>
        <v>4.9000000000000004</v>
      </c>
      <c r="BU130" s="4">
        <v>64</v>
      </c>
      <c r="BV130" s="4">
        <f t="shared" si="26"/>
        <v>4.8</v>
      </c>
    </row>
    <row r="131" spans="37:74" hidden="1" x14ac:dyDescent="0.25">
      <c r="AK131" s="24">
        <f>IF(AND($D$15&lt;&gt;"",MAX($AK$9:AK130)&lt;$D$15)=TRUE,AK130+0.5,"")</f>
        <v>61</v>
      </c>
      <c r="AL131" s="25">
        <f t="shared" ca="1" si="27"/>
        <v>4.0999999999999996</v>
      </c>
      <c r="AN131" s="25">
        <f t="shared" ca="1" si="28"/>
        <v>4.0999999999999996</v>
      </c>
      <c r="AO131" s="25">
        <f t="shared" ca="1" si="29"/>
        <v>4.7</v>
      </c>
      <c r="AP131" s="25">
        <f t="shared" ca="1" si="30"/>
        <v>0.4</v>
      </c>
      <c r="AU131" s="25">
        <f t="shared" ca="1" si="31"/>
        <v>5.0999999999999996</v>
      </c>
      <c r="BU131" s="4">
        <v>64.5</v>
      </c>
      <c r="BV131" s="4">
        <f t="shared" ref="BV131:BV194" si="32">IFERROR(IF(AND($BS$2&gt;=5,$BS$2&lt;=29),HLOOKUP($BS$2,$BX$1:$CV$60,$BT131,FALSE),IF(BU131&gt;=0.6*$BS$2*2,ROUND(((7-4)/($BS$2*2-0.6*$BS$2*2))*(BU131-0.6*$BS$2*2)+4,1),ROUND(((4-1)/(0.6*$BS$2*2))*BU131+1,1))),"")</f>
        <v>4.9000000000000004</v>
      </c>
    </row>
    <row r="132" spans="37:74" hidden="1" x14ac:dyDescent="0.25">
      <c r="AK132" s="24">
        <f>IF(AND($D$15&lt;&gt;"",MAX($AK$9:AK131)&lt;$D$15)=TRUE,AK131+0.5,"")</f>
        <v>61.5</v>
      </c>
      <c r="AL132" s="25">
        <f t="shared" ca="1" si="27"/>
        <v>4.0999999999999996</v>
      </c>
      <c r="AN132" s="25">
        <f t="shared" ca="1" si="28"/>
        <v>4.0999999999999996</v>
      </c>
      <c r="AO132" s="25">
        <f t="shared" ca="1" si="29"/>
        <v>4.7</v>
      </c>
      <c r="AP132" s="25">
        <f t="shared" ca="1" si="30"/>
        <v>0.4</v>
      </c>
      <c r="AU132" s="25">
        <f t="shared" ca="1" si="31"/>
        <v>5.0999999999999996</v>
      </c>
      <c r="BU132" s="4">
        <v>65</v>
      </c>
      <c r="BV132" s="4">
        <f t="shared" si="32"/>
        <v>4.9000000000000004</v>
      </c>
    </row>
    <row r="133" spans="37:74" hidden="1" x14ac:dyDescent="0.25">
      <c r="AK133" s="24">
        <f>IF(AND($D$15&lt;&gt;"",MAX($AK$9:AK132)&lt;$D$15)=TRUE,AK132+0.5,"")</f>
        <v>62</v>
      </c>
      <c r="AL133" s="25">
        <f t="shared" ca="1" si="27"/>
        <v>4.2</v>
      </c>
      <c r="AN133" s="25">
        <f t="shared" ca="1" si="28"/>
        <v>4.2</v>
      </c>
      <c r="AO133" s="25">
        <f t="shared" ca="1" si="29"/>
        <v>4.7</v>
      </c>
      <c r="AP133" s="25">
        <f t="shared" ca="1" si="30"/>
        <v>0.4</v>
      </c>
      <c r="AU133" s="25">
        <f t="shared" ca="1" si="31"/>
        <v>5.0999999999999996</v>
      </c>
      <c r="BU133" s="4">
        <v>65.5</v>
      </c>
      <c r="BV133" s="4">
        <f t="shared" si="32"/>
        <v>5</v>
      </c>
    </row>
    <row r="134" spans="37:74" hidden="1" x14ac:dyDescent="0.25">
      <c r="AK134" s="24">
        <f>IF(AND($D$15&lt;&gt;"",MAX($AK$9:AK133)&lt;$D$15)=TRUE,AK133+0.5,"")</f>
        <v>62.5</v>
      </c>
      <c r="AL134" s="25">
        <f t="shared" ca="1" si="27"/>
        <v>4.2</v>
      </c>
      <c r="AN134" s="25">
        <f t="shared" ca="1" si="28"/>
        <v>4.2</v>
      </c>
      <c r="AO134" s="25">
        <f t="shared" ca="1" si="29"/>
        <v>4.8</v>
      </c>
      <c r="AP134" s="25">
        <f t="shared" ca="1" si="30"/>
        <v>0.5</v>
      </c>
      <c r="AU134" s="25">
        <f t="shared" ca="1" si="31"/>
        <v>5.3</v>
      </c>
      <c r="BU134" s="4">
        <v>66</v>
      </c>
      <c r="BV134" s="4">
        <f t="shared" si="32"/>
        <v>5</v>
      </c>
    </row>
    <row r="135" spans="37:74" hidden="1" x14ac:dyDescent="0.25">
      <c r="AK135" s="24">
        <f>IF(AND($D$15&lt;&gt;"",MAX($AK$9:AK134)&lt;$D$15)=TRUE,AK134+0.5,"")</f>
        <v>63</v>
      </c>
      <c r="AL135" s="25">
        <f t="shared" ca="1" si="27"/>
        <v>4.2</v>
      </c>
      <c r="AN135" s="25">
        <f t="shared" ca="1" si="28"/>
        <v>4.2</v>
      </c>
      <c r="AO135" s="25">
        <f t="shared" ca="1" si="29"/>
        <v>4.8</v>
      </c>
      <c r="AP135" s="25">
        <f t="shared" ca="1" si="30"/>
        <v>0.5</v>
      </c>
      <c r="AU135" s="25">
        <f t="shared" ca="1" si="31"/>
        <v>5.3</v>
      </c>
      <c r="BU135" s="4">
        <v>66.5</v>
      </c>
      <c r="BV135" s="4">
        <f t="shared" si="32"/>
        <v>5</v>
      </c>
    </row>
    <row r="136" spans="37:74" hidden="1" x14ac:dyDescent="0.25">
      <c r="AK136" s="24">
        <f>IF(AND($D$15&lt;&gt;"",MAX($AK$9:AK135)&lt;$D$15)=TRUE,AK135+0.5,"")</f>
        <v>63.5</v>
      </c>
      <c r="AL136" s="25">
        <f t="shared" ca="1" si="27"/>
        <v>4.3</v>
      </c>
      <c r="AN136" s="25">
        <f t="shared" ca="1" si="28"/>
        <v>4.3</v>
      </c>
      <c r="AO136" s="25">
        <f t="shared" ca="1" si="29"/>
        <v>4.8</v>
      </c>
      <c r="AP136" s="25">
        <f t="shared" ca="1" si="30"/>
        <v>0.5</v>
      </c>
      <c r="AU136" s="25">
        <f t="shared" ca="1" si="31"/>
        <v>5.3</v>
      </c>
      <c r="BU136" s="4">
        <v>67</v>
      </c>
      <c r="BV136" s="4">
        <f t="shared" si="32"/>
        <v>5.0999999999999996</v>
      </c>
    </row>
    <row r="137" spans="37:74" hidden="1" x14ac:dyDescent="0.25">
      <c r="AK137" s="24">
        <f>IF(AND($D$15&lt;&gt;"",MAX($AK$9:AK136)&lt;$D$15)=TRUE,AK136+0.5,"")</f>
        <v>64</v>
      </c>
      <c r="AL137" s="25">
        <f t="shared" ref="AL137:AL200" ca="1" si="33">IF(AK137&lt;=$D$15,IF($D$17=$AZ$9,AO137,IF($D$17=$AZ$10,AN137,IF($D$17=$AZ$11,AU137,""))),"")</f>
        <v>4.3</v>
      </c>
      <c r="AN137" s="25">
        <f t="shared" ca="1" si="28"/>
        <v>4.3</v>
      </c>
      <c r="AO137" s="25">
        <f t="shared" ca="1" si="29"/>
        <v>4.8</v>
      </c>
      <c r="AP137" s="25">
        <f t="shared" ca="1" si="30"/>
        <v>0.5</v>
      </c>
      <c r="AU137" s="25">
        <f t="shared" ca="1" si="31"/>
        <v>5.3</v>
      </c>
      <c r="BU137" s="4">
        <v>67.5</v>
      </c>
      <c r="BV137" s="4">
        <f t="shared" si="32"/>
        <v>5.0999999999999996</v>
      </c>
    </row>
    <row r="138" spans="37:74" hidden="1" x14ac:dyDescent="0.25">
      <c r="AK138" s="24">
        <f>IF(AND($D$15&lt;&gt;"",MAX($AK$9:AK137)&lt;$D$15)=TRUE,AK137+0.5,"")</f>
        <v>64.5</v>
      </c>
      <c r="AL138" s="25">
        <f t="shared" ca="1" si="33"/>
        <v>4.3</v>
      </c>
      <c r="AN138" s="25">
        <f t="shared" ref="AN138:AN201" ca="1" si="34">IF($AN$1=2024,ROUND(IF(AK138&lt;$D$15*$D$13,(4-$D$9)*(AK138/($D$15*$D$13))+$D$9,($D$11-4)*((AK138-$D$15*$D$13)/($D$15*(1-$D$13)))+4),1),"")</f>
        <v>4.3</v>
      </c>
      <c r="AO138" s="25">
        <f t="shared" ref="AO138:AO201" ca="1" si="35">IF($AN$1=2024,IFERROR(IF(AK138&lt;=$D$15,ROUND(AK138/$D$15*($D$11-$D$9)+$D$9,1),""),""),"")</f>
        <v>4.9000000000000004</v>
      </c>
      <c r="AP138" s="25">
        <f t="shared" ref="AP138:AP201" ca="1" si="36">IF($AN$1=2024,IF(AO138&lt;&gt;"",ROUND((AO138-AVERAGE($AO$9:$AO$609))/STDEV($AO$9:$AO$609),1),""),"")</f>
        <v>0.5</v>
      </c>
      <c r="AU138" s="25">
        <f t="shared" ref="AU138:AU201" ca="1" si="37">IF($AN$1=2024,IF(AP138&lt;&gt;"",IF(AP138=MIN($AP$9:$AP$609),1,IF(AP138=MAX($AP$9:$AP$609),7,ROUND(VLOOKUP(AP138,$AR$9:$AS$89,2,FALSE),1))),""),"")</f>
        <v>5.3</v>
      </c>
      <c r="BU138" s="4">
        <v>68</v>
      </c>
      <c r="BV138" s="4">
        <f t="shared" si="32"/>
        <v>5.2</v>
      </c>
    </row>
    <row r="139" spans="37:74" hidden="1" x14ac:dyDescent="0.25">
      <c r="AK139" s="24">
        <f>IF(AND($D$15&lt;&gt;"",MAX($AK$9:AK138)&lt;$D$15)=TRUE,AK138+0.5,"")</f>
        <v>65</v>
      </c>
      <c r="AL139" s="25">
        <f t="shared" ca="1" si="33"/>
        <v>4.4000000000000004</v>
      </c>
      <c r="AN139" s="25">
        <f t="shared" ca="1" si="34"/>
        <v>4.4000000000000004</v>
      </c>
      <c r="AO139" s="25">
        <f t="shared" ca="1" si="35"/>
        <v>4.9000000000000004</v>
      </c>
      <c r="AP139" s="25">
        <f t="shared" ca="1" si="36"/>
        <v>0.5</v>
      </c>
      <c r="AU139" s="25">
        <f t="shared" ca="1" si="37"/>
        <v>5.3</v>
      </c>
      <c r="BU139" s="4">
        <v>68.5</v>
      </c>
      <c r="BV139" s="4">
        <f t="shared" si="32"/>
        <v>5.2</v>
      </c>
    </row>
    <row r="140" spans="37:74" hidden="1" x14ac:dyDescent="0.25">
      <c r="AK140" s="24">
        <f>IF(AND($D$15&lt;&gt;"",MAX($AK$9:AK139)&lt;$D$15)=TRUE,AK139+0.5,"")</f>
        <v>65.5</v>
      </c>
      <c r="AL140" s="25">
        <f t="shared" ca="1" si="33"/>
        <v>4.4000000000000004</v>
      </c>
      <c r="AN140" s="25">
        <f t="shared" ca="1" si="34"/>
        <v>4.4000000000000004</v>
      </c>
      <c r="AO140" s="25">
        <f t="shared" ca="1" si="35"/>
        <v>4.9000000000000004</v>
      </c>
      <c r="AP140" s="25">
        <f t="shared" ca="1" si="36"/>
        <v>0.5</v>
      </c>
      <c r="AU140" s="25">
        <f t="shared" ca="1" si="37"/>
        <v>5.3</v>
      </c>
      <c r="BU140" s="4">
        <v>69</v>
      </c>
      <c r="BV140" s="4">
        <f t="shared" si="32"/>
        <v>5.3</v>
      </c>
    </row>
    <row r="141" spans="37:74" hidden="1" x14ac:dyDescent="0.25">
      <c r="AK141" s="24">
        <f>IF(AND($D$15&lt;&gt;"",MAX($AK$9:AK140)&lt;$D$15)=TRUE,AK140+0.5,"")</f>
        <v>66</v>
      </c>
      <c r="AL141" s="25">
        <f t="shared" ca="1" si="33"/>
        <v>4.5</v>
      </c>
      <c r="AN141" s="25">
        <f t="shared" ca="1" si="34"/>
        <v>4.5</v>
      </c>
      <c r="AO141" s="25">
        <f t="shared" ca="1" si="35"/>
        <v>5</v>
      </c>
      <c r="AP141" s="25">
        <f t="shared" ca="1" si="36"/>
        <v>0.6</v>
      </c>
      <c r="AU141" s="25">
        <f t="shared" ca="1" si="37"/>
        <v>5.5</v>
      </c>
      <c r="BU141" s="4">
        <v>69.5</v>
      </c>
      <c r="BV141" s="4">
        <f t="shared" si="32"/>
        <v>5.3</v>
      </c>
    </row>
    <row r="142" spans="37:74" hidden="1" x14ac:dyDescent="0.25">
      <c r="AK142" s="24">
        <f>IF(AND($D$15&lt;&gt;"",MAX($AK$9:AK141)&lt;$D$15)=TRUE,AK141+0.5,"")</f>
        <v>66.5</v>
      </c>
      <c r="AL142" s="25">
        <f t="shared" ca="1" si="33"/>
        <v>4.5</v>
      </c>
      <c r="AN142" s="25">
        <f t="shared" ca="1" si="34"/>
        <v>4.5</v>
      </c>
      <c r="AO142" s="25">
        <f t="shared" ca="1" si="35"/>
        <v>5</v>
      </c>
      <c r="AP142" s="25">
        <f t="shared" ca="1" si="36"/>
        <v>0.6</v>
      </c>
      <c r="AU142" s="25">
        <f t="shared" ca="1" si="37"/>
        <v>5.5</v>
      </c>
      <c r="BU142" s="4">
        <v>70</v>
      </c>
      <c r="BV142" s="4">
        <f t="shared" si="32"/>
        <v>5.3</v>
      </c>
    </row>
    <row r="143" spans="37:74" hidden="1" x14ac:dyDescent="0.25">
      <c r="AK143" s="24">
        <f>IF(AND($D$15&lt;&gt;"",MAX($AK$9:AK142)&lt;$D$15)=TRUE,AK142+0.5,"")</f>
        <v>67</v>
      </c>
      <c r="AL143" s="25">
        <f t="shared" ca="1" si="33"/>
        <v>4.5</v>
      </c>
      <c r="AN143" s="25">
        <f t="shared" ca="1" si="34"/>
        <v>4.5</v>
      </c>
      <c r="AO143" s="25">
        <f t="shared" ca="1" si="35"/>
        <v>5</v>
      </c>
      <c r="AP143" s="25">
        <f t="shared" ca="1" si="36"/>
        <v>0.6</v>
      </c>
      <c r="AU143" s="25">
        <f t="shared" ca="1" si="37"/>
        <v>5.5</v>
      </c>
      <c r="BU143" s="4">
        <v>70.5</v>
      </c>
      <c r="BV143" s="4">
        <f t="shared" si="32"/>
        <v>5.4</v>
      </c>
    </row>
    <row r="144" spans="37:74" hidden="1" x14ac:dyDescent="0.25">
      <c r="AK144" s="24">
        <f>IF(AND($D$15&lt;&gt;"",MAX($AK$9:AK143)&lt;$D$15)=TRUE,AK143+0.5,"")</f>
        <v>67.5</v>
      </c>
      <c r="AL144" s="25">
        <f t="shared" ca="1" si="33"/>
        <v>4.5999999999999996</v>
      </c>
      <c r="AN144" s="25">
        <f t="shared" ca="1" si="34"/>
        <v>4.5999999999999996</v>
      </c>
      <c r="AO144" s="25">
        <f t="shared" ca="1" si="35"/>
        <v>5.0999999999999996</v>
      </c>
      <c r="AP144" s="25">
        <f t="shared" ca="1" si="36"/>
        <v>0.6</v>
      </c>
      <c r="AU144" s="25">
        <f t="shared" ca="1" si="37"/>
        <v>5.5</v>
      </c>
      <c r="BU144" s="4">
        <v>71</v>
      </c>
      <c r="BV144" s="4">
        <f t="shared" si="32"/>
        <v>5.4</v>
      </c>
    </row>
    <row r="145" spans="37:74" hidden="1" x14ac:dyDescent="0.25">
      <c r="AK145" s="24">
        <f>IF(AND($D$15&lt;&gt;"",MAX($AK$9:AK144)&lt;$D$15)=TRUE,AK144+0.5,"")</f>
        <v>68</v>
      </c>
      <c r="AL145" s="25">
        <f t="shared" ca="1" si="33"/>
        <v>4.5999999999999996</v>
      </c>
      <c r="AN145" s="25">
        <f t="shared" ca="1" si="34"/>
        <v>4.5999999999999996</v>
      </c>
      <c r="AO145" s="25">
        <f t="shared" ca="1" si="35"/>
        <v>5.0999999999999996</v>
      </c>
      <c r="AP145" s="25">
        <f t="shared" ca="1" si="36"/>
        <v>0.6</v>
      </c>
      <c r="AU145" s="25">
        <f t="shared" ca="1" si="37"/>
        <v>5.5</v>
      </c>
      <c r="BU145" s="4">
        <v>71.5</v>
      </c>
      <c r="BV145" s="4">
        <f t="shared" si="32"/>
        <v>5.5</v>
      </c>
    </row>
    <row r="146" spans="37:74" hidden="1" x14ac:dyDescent="0.25">
      <c r="AK146" s="24">
        <f>IF(AND($D$15&lt;&gt;"",MAX($AK$9:AK145)&lt;$D$15)=TRUE,AK145+0.5,"")</f>
        <v>68.5</v>
      </c>
      <c r="AL146" s="25">
        <f t="shared" ca="1" si="33"/>
        <v>4.5999999999999996</v>
      </c>
      <c r="AN146" s="25">
        <f t="shared" ca="1" si="34"/>
        <v>4.5999999999999996</v>
      </c>
      <c r="AO146" s="25">
        <f t="shared" ca="1" si="35"/>
        <v>5.0999999999999996</v>
      </c>
      <c r="AP146" s="25">
        <f t="shared" ca="1" si="36"/>
        <v>0.6</v>
      </c>
      <c r="AU146" s="25">
        <f t="shared" ca="1" si="37"/>
        <v>5.5</v>
      </c>
      <c r="BU146" s="4">
        <v>72</v>
      </c>
      <c r="BV146" s="4">
        <f t="shared" si="32"/>
        <v>5.5</v>
      </c>
    </row>
    <row r="147" spans="37:74" hidden="1" x14ac:dyDescent="0.25">
      <c r="AK147" s="24">
        <f>IF(AND($D$15&lt;&gt;"",MAX($AK$9:AK146)&lt;$D$15)=TRUE,AK146+0.5,"")</f>
        <v>69</v>
      </c>
      <c r="AL147" s="25">
        <f t="shared" ca="1" si="33"/>
        <v>4.7</v>
      </c>
      <c r="AN147" s="25">
        <f t="shared" ca="1" si="34"/>
        <v>4.7</v>
      </c>
      <c r="AO147" s="25">
        <f t="shared" ca="1" si="35"/>
        <v>5.0999999999999996</v>
      </c>
      <c r="AP147" s="25">
        <f t="shared" ca="1" si="36"/>
        <v>0.6</v>
      </c>
      <c r="AU147" s="25">
        <f t="shared" ca="1" si="37"/>
        <v>5.5</v>
      </c>
      <c r="BU147" s="4">
        <v>72.5</v>
      </c>
      <c r="BV147" s="4">
        <f t="shared" si="32"/>
        <v>5.5</v>
      </c>
    </row>
    <row r="148" spans="37:74" hidden="1" x14ac:dyDescent="0.25">
      <c r="AK148" s="24">
        <f>IF(AND($D$15&lt;&gt;"",MAX($AK$9:AK147)&lt;$D$15)=TRUE,AK147+0.5,"")</f>
        <v>69.5</v>
      </c>
      <c r="AL148" s="25">
        <f t="shared" ca="1" si="33"/>
        <v>4.7</v>
      </c>
      <c r="AN148" s="25">
        <f t="shared" ca="1" si="34"/>
        <v>4.7</v>
      </c>
      <c r="AO148" s="25">
        <f t="shared" ca="1" si="35"/>
        <v>5.2</v>
      </c>
      <c r="AP148" s="25">
        <f t="shared" ca="1" si="36"/>
        <v>0.7</v>
      </c>
      <c r="AU148" s="25">
        <f t="shared" ca="1" si="37"/>
        <v>5.7</v>
      </c>
      <c r="BU148" s="4">
        <v>73</v>
      </c>
      <c r="BV148" s="4">
        <f t="shared" si="32"/>
        <v>5.6</v>
      </c>
    </row>
    <row r="149" spans="37:74" hidden="1" x14ac:dyDescent="0.25">
      <c r="AK149" s="24">
        <f>IF(AND($D$15&lt;&gt;"",MAX($AK$9:AK148)&lt;$D$15)=TRUE,AK148+0.5,"")</f>
        <v>70</v>
      </c>
      <c r="AL149" s="25">
        <f t="shared" ca="1" si="33"/>
        <v>4.8</v>
      </c>
      <c r="AN149" s="25">
        <f t="shared" ca="1" si="34"/>
        <v>4.8</v>
      </c>
      <c r="AO149" s="25">
        <f t="shared" ca="1" si="35"/>
        <v>5.2</v>
      </c>
      <c r="AP149" s="25">
        <f t="shared" ca="1" si="36"/>
        <v>0.7</v>
      </c>
      <c r="AU149" s="25">
        <f t="shared" ca="1" si="37"/>
        <v>5.7</v>
      </c>
      <c r="BU149" s="4">
        <v>73.5</v>
      </c>
      <c r="BV149" s="4">
        <f t="shared" si="32"/>
        <v>5.6</v>
      </c>
    </row>
    <row r="150" spans="37:74" hidden="1" x14ac:dyDescent="0.25">
      <c r="AK150" s="24">
        <f>IF(AND($D$15&lt;&gt;"",MAX($AK$9:AK149)&lt;$D$15)=TRUE,AK149+0.5,"")</f>
        <v>70.5</v>
      </c>
      <c r="AL150" s="25">
        <f t="shared" ca="1" si="33"/>
        <v>4.8</v>
      </c>
      <c r="AN150" s="25">
        <f t="shared" ca="1" si="34"/>
        <v>4.8</v>
      </c>
      <c r="AO150" s="25">
        <f t="shared" ca="1" si="35"/>
        <v>5.2</v>
      </c>
      <c r="AP150" s="25">
        <f t="shared" ca="1" si="36"/>
        <v>0.7</v>
      </c>
      <c r="AU150" s="25">
        <f t="shared" ca="1" si="37"/>
        <v>5.7</v>
      </c>
      <c r="BU150" s="4">
        <v>74</v>
      </c>
      <c r="BV150" s="4">
        <f t="shared" si="32"/>
        <v>5.7</v>
      </c>
    </row>
    <row r="151" spans="37:74" hidden="1" x14ac:dyDescent="0.25">
      <c r="AK151" s="24">
        <f>IF(AND($D$15&lt;&gt;"",MAX($AK$9:AK150)&lt;$D$15)=TRUE,AK150+0.5,"")</f>
        <v>71</v>
      </c>
      <c r="AL151" s="25">
        <f t="shared" ca="1" si="33"/>
        <v>4.8</v>
      </c>
      <c r="AN151" s="25">
        <f t="shared" ca="1" si="34"/>
        <v>4.8</v>
      </c>
      <c r="AO151" s="25">
        <f t="shared" ca="1" si="35"/>
        <v>5.3</v>
      </c>
      <c r="AP151" s="25">
        <f t="shared" ca="1" si="36"/>
        <v>0.7</v>
      </c>
      <c r="AU151" s="25">
        <f t="shared" ca="1" si="37"/>
        <v>5.7</v>
      </c>
      <c r="BU151" s="4">
        <v>74.5</v>
      </c>
      <c r="BV151" s="4">
        <f t="shared" si="32"/>
        <v>5.7</v>
      </c>
    </row>
    <row r="152" spans="37:74" hidden="1" x14ac:dyDescent="0.25">
      <c r="AK152" s="24">
        <f>IF(AND($D$15&lt;&gt;"",MAX($AK$9:AK151)&lt;$D$15)=TRUE,AK151+0.5,"")</f>
        <v>71.5</v>
      </c>
      <c r="AL152" s="25">
        <f t="shared" ca="1" si="33"/>
        <v>4.9000000000000004</v>
      </c>
      <c r="AN152" s="25">
        <f t="shared" ca="1" si="34"/>
        <v>4.9000000000000004</v>
      </c>
      <c r="AO152" s="25">
        <f t="shared" ca="1" si="35"/>
        <v>5.3</v>
      </c>
      <c r="AP152" s="25">
        <f t="shared" ca="1" si="36"/>
        <v>0.7</v>
      </c>
      <c r="AU152" s="25">
        <f t="shared" ca="1" si="37"/>
        <v>5.7</v>
      </c>
      <c r="BU152" s="4">
        <v>75</v>
      </c>
      <c r="BV152" s="4">
        <f t="shared" si="32"/>
        <v>5.8</v>
      </c>
    </row>
    <row r="153" spans="37:74" hidden="1" x14ac:dyDescent="0.25">
      <c r="AK153" s="24">
        <f>IF(AND($D$15&lt;&gt;"",MAX($AK$9:AK152)&lt;$D$15)=TRUE,AK152+0.5,"")</f>
        <v>72</v>
      </c>
      <c r="AL153" s="25">
        <f t="shared" ca="1" si="33"/>
        <v>4.9000000000000004</v>
      </c>
      <c r="AN153" s="25">
        <f t="shared" ca="1" si="34"/>
        <v>4.9000000000000004</v>
      </c>
      <c r="AO153" s="25">
        <f t="shared" ca="1" si="35"/>
        <v>5.3</v>
      </c>
      <c r="AP153" s="25">
        <f t="shared" ca="1" si="36"/>
        <v>0.7</v>
      </c>
      <c r="AU153" s="25">
        <f t="shared" ca="1" si="37"/>
        <v>5.7</v>
      </c>
      <c r="BU153" s="4">
        <v>75.5</v>
      </c>
      <c r="BV153" s="4">
        <f t="shared" si="32"/>
        <v>5.8</v>
      </c>
    </row>
    <row r="154" spans="37:74" hidden="1" x14ac:dyDescent="0.25">
      <c r="AK154" s="24">
        <f>IF(AND($D$15&lt;&gt;"",MAX($AK$9:AK153)&lt;$D$15)=TRUE,AK153+0.5,"")</f>
        <v>72.5</v>
      </c>
      <c r="AL154" s="25">
        <f t="shared" ca="1" si="33"/>
        <v>4.9000000000000004</v>
      </c>
      <c r="AN154" s="25">
        <f t="shared" ca="1" si="34"/>
        <v>4.9000000000000004</v>
      </c>
      <c r="AO154" s="25">
        <f t="shared" ca="1" si="35"/>
        <v>5.4</v>
      </c>
      <c r="AP154" s="25">
        <f t="shared" ca="1" si="36"/>
        <v>0.8</v>
      </c>
      <c r="AU154" s="25">
        <f t="shared" ca="1" si="37"/>
        <v>5.9</v>
      </c>
      <c r="BU154" s="4">
        <v>76</v>
      </c>
      <c r="BV154" s="4">
        <f t="shared" si="32"/>
        <v>5.8</v>
      </c>
    </row>
    <row r="155" spans="37:74" hidden="1" x14ac:dyDescent="0.25">
      <c r="AK155" s="24">
        <f>IF(AND($D$15&lt;&gt;"",MAX($AK$9:AK154)&lt;$D$15)=TRUE,AK154+0.5,"")</f>
        <v>73</v>
      </c>
      <c r="AL155" s="25">
        <f t="shared" ca="1" si="33"/>
        <v>5</v>
      </c>
      <c r="AN155" s="25">
        <f t="shared" ca="1" si="34"/>
        <v>5</v>
      </c>
      <c r="AO155" s="25">
        <f t="shared" ca="1" si="35"/>
        <v>5.4</v>
      </c>
      <c r="AP155" s="25">
        <f t="shared" ca="1" si="36"/>
        <v>0.8</v>
      </c>
      <c r="AU155" s="25">
        <f t="shared" ca="1" si="37"/>
        <v>5.9</v>
      </c>
      <c r="BU155" s="4">
        <v>76.5</v>
      </c>
      <c r="BV155" s="4">
        <f t="shared" si="32"/>
        <v>5.9</v>
      </c>
    </row>
    <row r="156" spans="37:74" hidden="1" x14ac:dyDescent="0.25">
      <c r="AK156" s="24">
        <f>IF(AND($D$15&lt;&gt;"",MAX($AK$9:AK155)&lt;$D$15)=TRUE,AK155+0.5,"")</f>
        <v>73.5</v>
      </c>
      <c r="AL156" s="25">
        <f t="shared" ca="1" si="33"/>
        <v>5</v>
      </c>
      <c r="AN156" s="25">
        <f t="shared" ca="1" si="34"/>
        <v>5</v>
      </c>
      <c r="AO156" s="25">
        <f t="shared" ca="1" si="35"/>
        <v>5.4</v>
      </c>
      <c r="AP156" s="25">
        <f t="shared" ca="1" si="36"/>
        <v>0.8</v>
      </c>
      <c r="AU156" s="25">
        <f t="shared" ca="1" si="37"/>
        <v>5.9</v>
      </c>
      <c r="BU156" s="4">
        <v>77</v>
      </c>
      <c r="BV156" s="4">
        <f t="shared" si="32"/>
        <v>5.9</v>
      </c>
    </row>
    <row r="157" spans="37:74" hidden="1" x14ac:dyDescent="0.25">
      <c r="AK157" s="24">
        <f>IF(AND($D$15&lt;&gt;"",MAX($AK$9:AK156)&lt;$D$15)=TRUE,AK156+0.5,"")</f>
        <v>74</v>
      </c>
      <c r="AL157" s="25">
        <f t="shared" ca="1" si="33"/>
        <v>5.0999999999999996</v>
      </c>
      <c r="AN157" s="25">
        <f t="shared" ca="1" si="34"/>
        <v>5.0999999999999996</v>
      </c>
      <c r="AO157" s="25">
        <f t="shared" ca="1" si="35"/>
        <v>5.4</v>
      </c>
      <c r="AP157" s="25">
        <f t="shared" ca="1" si="36"/>
        <v>0.8</v>
      </c>
      <c r="AU157" s="25">
        <f t="shared" ca="1" si="37"/>
        <v>5.9</v>
      </c>
      <c r="BU157" s="4">
        <v>77.5</v>
      </c>
      <c r="BV157" s="4">
        <f t="shared" si="32"/>
        <v>6</v>
      </c>
    </row>
    <row r="158" spans="37:74" hidden="1" x14ac:dyDescent="0.25">
      <c r="AK158" s="24">
        <f>IF(AND($D$15&lt;&gt;"",MAX($AK$9:AK157)&lt;$D$15)=TRUE,AK157+0.5,"")</f>
        <v>74.5</v>
      </c>
      <c r="AL158" s="25">
        <f t="shared" ca="1" si="33"/>
        <v>5.0999999999999996</v>
      </c>
      <c r="AN158" s="25">
        <f t="shared" ca="1" si="34"/>
        <v>5.0999999999999996</v>
      </c>
      <c r="AO158" s="25">
        <f t="shared" ca="1" si="35"/>
        <v>5.5</v>
      </c>
      <c r="AP158" s="25">
        <f t="shared" ca="1" si="36"/>
        <v>0.9</v>
      </c>
      <c r="AU158" s="25">
        <f t="shared" ca="1" si="37"/>
        <v>6</v>
      </c>
      <c r="BU158" s="4">
        <v>78</v>
      </c>
      <c r="BV158" s="4">
        <f t="shared" si="32"/>
        <v>6</v>
      </c>
    </row>
    <row r="159" spans="37:74" hidden="1" x14ac:dyDescent="0.25">
      <c r="AK159" s="24">
        <f>IF(AND($D$15&lt;&gt;"",MAX($AK$9:AK158)&lt;$D$15)=TRUE,AK158+0.5,"")</f>
        <v>75</v>
      </c>
      <c r="AL159" s="25">
        <f t="shared" ca="1" si="33"/>
        <v>5.0999999999999996</v>
      </c>
      <c r="AN159" s="25">
        <f t="shared" ca="1" si="34"/>
        <v>5.0999999999999996</v>
      </c>
      <c r="AO159" s="25">
        <f t="shared" ca="1" si="35"/>
        <v>5.5</v>
      </c>
      <c r="AP159" s="25">
        <f t="shared" ca="1" si="36"/>
        <v>0.9</v>
      </c>
      <c r="AU159" s="25">
        <f t="shared" ca="1" si="37"/>
        <v>6</v>
      </c>
      <c r="BU159" s="4">
        <v>78.5</v>
      </c>
      <c r="BV159" s="4">
        <f t="shared" si="32"/>
        <v>6</v>
      </c>
    </row>
    <row r="160" spans="37:74" hidden="1" x14ac:dyDescent="0.25">
      <c r="AK160" s="24">
        <f>IF(AND($D$15&lt;&gt;"",MAX($AK$9:AK159)&lt;$D$15)=TRUE,AK159+0.5,"")</f>
        <v>75.5</v>
      </c>
      <c r="AL160" s="25">
        <f t="shared" ca="1" si="33"/>
        <v>5.2</v>
      </c>
      <c r="AN160" s="25">
        <f t="shared" ca="1" si="34"/>
        <v>5.2</v>
      </c>
      <c r="AO160" s="25">
        <f t="shared" ca="1" si="35"/>
        <v>5.5</v>
      </c>
      <c r="AP160" s="25">
        <f t="shared" ca="1" si="36"/>
        <v>0.9</v>
      </c>
      <c r="AU160" s="25">
        <f t="shared" ca="1" si="37"/>
        <v>6</v>
      </c>
      <c r="BU160" s="4">
        <v>79</v>
      </c>
      <c r="BV160" s="4">
        <f t="shared" si="32"/>
        <v>6.1</v>
      </c>
    </row>
    <row r="161" spans="37:74" hidden="1" x14ac:dyDescent="0.25">
      <c r="AK161" s="24">
        <f>IF(AND($D$15&lt;&gt;"",MAX($AK$9:AK160)&lt;$D$15)=TRUE,AK160+0.5,"")</f>
        <v>76</v>
      </c>
      <c r="AL161" s="25">
        <f t="shared" ca="1" si="33"/>
        <v>5.2</v>
      </c>
      <c r="AN161" s="25">
        <f t="shared" ca="1" si="34"/>
        <v>5.2</v>
      </c>
      <c r="AO161" s="25">
        <f t="shared" ca="1" si="35"/>
        <v>5.6</v>
      </c>
      <c r="AP161" s="25">
        <f t="shared" ca="1" si="36"/>
        <v>0.9</v>
      </c>
      <c r="AU161" s="25">
        <f t="shared" ca="1" si="37"/>
        <v>6</v>
      </c>
      <c r="BU161" s="4">
        <v>79.5</v>
      </c>
      <c r="BV161" s="4">
        <f t="shared" si="32"/>
        <v>6.1</v>
      </c>
    </row>
    <row r="162" spans="37:74" hidden="1" x14ac:dyDescent="0.25">
      <c r="AK162" s="24">
        <f>IF(AND($D$15&lt;&gt;"",MAX($AK$9:AK161)&lt;$D$15)=TRUE,AK161+0.5,"")</f>
        <v>76.5</v>
      </c>
      <c r="AL162" s="25">
        <f t="shared" ca="1" si="33"/>
        <v>5.2</v>
      </c>
      <c r="AN162" s="25">
        <f t="shared" ca="1" si="34"/>
        <v>5.2</v>
      </c>
      <c r="AO162" s="25">
        <f t="shared" ca="1" si="35"/>
        <v>5.6</v>
      </c>
      <c r="AP162" s="25">
        <f t="shared" ca="1" si="36"/>
        <v>0.9</v>
      </c>
      <c r="AU162" s="25">
        <f t="shared" ca="1" si="37"/>
        <v>6</v>
      </c>
      <c r="BU162" s="4">
        <v>80</v>
      </c>
      <c r="BV162" s="4">
        <f t="shared" si="32"/>
        <v>6.2</v>
      </c>
    </row>
    <row r="163" spans="37:74" hidden="1" x14ac:dyDescent="0.25">
      <c r="AK163" s="24">
        <f>IF(AND($D$15&lt;&gt;"",MAX($AK$9:AK162)&lt;$D$15)=TRUE,AK162+0.5,"")</f>
        <v>77</v>
      </c>
      <c r="AL163" s="25">
        <f t="shared" ca="1" si="33"/>
        <v>5.3</v>
      </c>
      <c r="AN163" s="25">
        <f t="shared" ca="1" si="34"/>
        <v>5.3</v>
      </c>
      <c r="AO163" s="25">
        <f t="shared" ca="1" si="35"/>
        <v>5.6</v>
      </c>
      <c r="AP163" s="25">
        <f t="shared" ca="1" si="36"/>
        <v>0.9</v>
      </c>
      <c r="AU163" s="25">
        <f t="shared" ca="1" si="37"/>
        <v>6</v>
      </c>
      <c r="BU163" s="4">
        <v>80.5</v>
      </c>
      <c r="BV163" s="4">
        <f t="shared" si="32"/>
        <v>6.2</v>
      </c>
    </row>
    <row r="164" spans="37:74" hidden="1" x14ac:dyDescent="0.25">
      <c r="AK164" s="24">
        <f>IF(AND($D$15&lt;&gt;"",MAX($AK$9:AK163)&lt;$D$15)=TRUE,AK163+0.5,"")</f>
        <v>77.5</v>
      </c>
      <c r="AL164" s="25">
        <f t="shared" ca="1" si="33"/>
        <v>5.3</v>
      </c>
      <c r="AN164" s="25">
        <f t="shared" ca="1" si="34"/>
        <v>5.3</v>
      </c>
      <c r="AO164" s="25">
        <f t="shared" ca="1" si="35"/>
        <v>5.7</v>
      </c>
      <c r="AP164" s="25">
        <f t="shared" ca="1" si="36"/>
        <v>1</v>
      </c>
      <c r="AU164" s="25">
        <f t="shared" ca="1" si="37"/>
        <v>6.2</v>
      </c>
      <c r="BU164" s="4">
        <v>81</v>
      </c>
      <c r="BV164" s="4">
        <f t="shared" si="32"/>
        <v>6.3</v>
      </c>
    </row>
    <row r="165" spans="37:74" hidden="1" x14ac:dyDescent="0.25">
      <c r="AK165" s="24">
        <f>IF(AND($D$15&lt;&gt;"",MAX($AK$9:AK164)&lt;$D$15)=TRUE,AK164+0.5,"")</f>
        <v>78</v>
      </c>
      <c r="AL165" s="25">
        <f t="shared" ca="1" si="33"/>
        <v>5.4</v>
      </c>
      <c r="AN165" s="25">
        <f t="shared" ca="1" si="34"/>
        <v>5.4</v>
      </c>
      <c r="AO165" s="25">
        <f t="shared" ca="1" si="35"/>
        <v>5.7</v>
      </c>
      <c r="AP165" s="25">
        <f t="shared" ca="1" si="36"/>
        <v>1</v>
      </c>
      <c r="AU165" s="25">
        <f t="shared" ca="1" si="37"/>
        <v>6.2</v>
      </c>
      <c r="BU165" s="4">
        <v>81.5</v>
      </c>
      <c r="BV165" s="4">
        <f t="shared" si="32"/>
        <v>6.3</v>
      </c>
    </row>
    <row r="166" spans="37:74" hidden="1" x14ac:dyDescent="0.25">
      <c r="AK166" s="24">
        <f>IF(AND($D$15&lt;&gt;"",MAX($AK$9:AK165)&lt;$D$15)=TRUE,AK165+0.5,"")</f>
        <v>78.5</v>
      </c>
      <c r="AL166" s="25">
        <f t="shared" ca="1" si="33"/>
        <v>5.4</v>
      </c>
      <c r="AN166" s="25">
        <f t="shared" ca="1" si="34"/>
        <v>5.4</v>
      </c>
      <c r="AO166" s="25">
        <f t="shared" ca="1" si="35"/>
        <v>5.7</v>
      </c>
      <c r="AP166" s="25">
        <f t="shared" ca="1" si="36"/>
        <v>1</v>
      </c>
      <c r="AU166" s="25">
        <f t="shared" ca="1" si="37"/>
        <v>6.2</v>
      </c>
      <c r="BU166" s="4">
        <v>82</v>
      </c>
      <c r="BV166" s="4">
        <f t="shared" si="32"/>
        <v>6.3</v>
      </c>
    </row>
    <row r="167" spans="37:74" hidden="1" x14ac:dyDescent="0.25">
      <c r="AK167" s="24">
        <f>IF(AND($D$15&lt;&gt;"",MAX($AK$9:AK166)&lt;$D$15)=TRUE,AK166+0.5,"")</f>
        <v>79</v>
      </c>
      <c r="AL167" s="25">
        <f t="shared" ca="1" si="33"/>
        <v>5.4</v>
      </c>
      <c r="AN167" s="25">
        <f t="shared" ca="1" si="34"/>
        <v>5.4</v>
      </c>
      <c r="AO167" s="25">
        <f t="shared" ca="1" si="35"/>
        <v>5.7</v>
      </c>
      <c r="AP167" s="25">
        <f t="shared" ca="1" si="36"/>
        <v>1</v>
      </c>
      <c r="AU167" s="25">
        <f t="shared" ca="1" si="37"/>
        <v>6.2</v>
      </c>
      <c r="BU167" s="4">
        <v>82.5</v>
      </c>
      <c r="BV167" s="4">
        <f t="shared" si="32"/>
        <v>6.4</v>
      </c>
    </row>
    <row r="168" spans="37:74" hidden="1" x14ac:dyDescent="0.25">
      <c r="AK168" s="24">
        <f>IF(AND($D$15&lt;&gt;"",MAX($AK$9:AK167)&lt;$D$15)=TRUE,AK167+0.5,"")</f>
        <v>79.5</v>
      </c>
      <c r="AL168" s="25">
        <f t="shared" ca="1" si="33"/>
        <v>5.5</v>
      </c>
      <c r="AN168" s="25">
        <f t="shared" ca="1" si="34"/>
        <v>5.5</v>
      </c>
      <c r="AO168" s="25">
        <f t="shared" ca="1" si="35"/>
        <v>5.8</v>
      </c>
      <c r="AP168" s="25">
        <f t="shared" ca="1" si="36"/>
        <v>1</v>
      </c>
      <c r="AU168" s="25">
        <f t="shared" ca="1" si="37"/>
        <v>6.2</v>
      </c>
      <c r="BU168" s="4">
        <v>83</v>
      </c>
      <c r="BV168" s="4">
        <f t="shared" si="32"/>
        <v>6.4</v>
      </c>
    </row>
    <row r="169" spans="37:74" hidden="1" x14ac:dyDescent="0.25">
      <c r="AK169" s="24">
        <f>IF(AND($D$15&lt;&gt;"",MAX($AK$9:AK168)&lt;$D$15)=TRUE,AK168+0.5,"")</f>
        <v>80</v>
      </c>
      <c r="AL169" s="25">
        <f t="shared" ca="1" si="33"/>
        <v>5.5</v>
      </c>
      <c r="AN169" s="25">
        <f t="shared" ca="1" si="34"/>
        <v>5.5</v>
      </c>
      <c r="AO169" s="25">
        <f t="shared" ca="1" si="35"/>
        <v>5.8</v>
      </c>
      <c r="AP169" s="25">
        <f t="shared" ca="1" si="36"/>
        <v>1</v>
      </c>
      <c r="AU169" s="25">
        <f t="shared" ca="1" si="37"/>
        <v>6.2</v>
      </c>
      <c r="BU169" s="4">
        <v>83.5</v>
      </c>
      <c r="BV169" s="4">
        <f t="shared" si="32"/>
        <v>6.5</v>
      </c>
    </row>
    <row r="170" spans="37:74" hidden="1" x14ac:dyDescent="0.25">
      <c r="AK170" s="24">
        <f>IF(AND($D$15&lt;&gt;"",MAX($AK$9:AK169)&lt;$D$15)=TRUE,AK169+0.5,"")</f>
        <v>80.5</v>
      </c>
      <c r="AL170" s="25">
        <f t="shared" ca="1" si="33"/>
        <v>5.5</v>
      </c>
      <c r="AN170" s="25">
        <f t="shared" ca="1" si="34"/>
        <v>5.5</v>
      </c>
      <c r="AO170" s="25">
        <f t="shared" ca="1" si="35"/>
        <v>5.8</v>
      </c>
      <c r="AP170" s="25">
        <f t="shared" ca="1" si="36"/>
        <v>1</v>
      </c>
      <c r="AU170" s="25">
        <f t="shared" ca="1" si="37"/>
        <v>6.2</v>
      </c>
      <c r="BU170" s="4">
        <v>84</v>
      </c>
      <c r="BV170" s="4">
        <f t="shared" si="32"/>
        <v>6.5</v>
      </c>
    </row>
    <row r="171" spans="37:74" hidden="1" x14ac:dyDescent="0.25">
      <c r="AK171" s="24">
        <f>IF(AND($D$15&lt;&gt;"",MAX($AK$9:AK170)&lt;$D$15)=TRUE,AK170+0.5,"")</f>
        <v>81</v>
      </c>
      <c r="AL171" s="25">
        <f t="shared" ca="1" si="33"/>
        <v>5.6</v>
      </c>
      <c r="AN171" s="25">
        <f t="shared" ca="1" si="34"/>
        <v>5.6</v>
      </c>
      <c r="AO171" s="25">
        <f t="shared" ca="1" si="35"/>
        <v>5.9</v>
      </c>
      <c r="AP171" s="25">
        <f t="shared" ca="1" si="36"/>
        <v>1.1000000000000001</v>
      </c>
      <c r="AU171" s="25">
        <f t="shared" ca="1" si="37"/>
        <v>6.3</v>
      </c>
      <c r="BU171" s="4">
        <v>84.5</v>
      </c>
      <c r="BV171" s="4">
        <f t="shared" si="32"/>
        <v>6.5</v>
      </c>
    </row>
    <row r="172" spans="37:74" hidden="1" x14ac:dyDescent="0.25">
      <c r="AK172" s="24">
        <f>IF(AND($D$15&lt;&gt;"",MAX($AK$9:AK171)&lt;$D$15)=TRUE,AK171+0.5,"")</f>
        <v>81.5</v>
      </c>
      <c r="AL172" s="25">
        <f t="shared" ca="1" si="33"/>
        <v>5.6</v>
      </c>
      <c r="AN172" s="25">
        <f t="shared" ca="1" si="34"/>
        <v>5.6</v>
      </c>
      <c r="AO172" s="25">
        <f t="shared" ca="1" si="35"/>
        <v>5.9</v>
      </c>
      <c r="AP172" s="25">
        <f t="shared" ca="1" si="36"/>
        <v>1.1000000000000001</v>
      </c>
      <c r="AU172" s="25">
        <f t="shared" ca="1" si="37"/>
        <v>6.3</v>
      </c>
      <c r="BU172" s="4">
        <v>85</v>
      </c>
      <c r="BV172" s="4">
        <f t="shared" si="32"/>
        <v>6.6</v>
      </c>
    </row>
    <row r="173" spans="37:74" hidden="1" x14ac:dyDescent="0.25">
      <c r="AK173" s="24">
        <f>IF(AND($D$15&lt;&gt;"",MAX($AK$9:AK172)&lt;$D$15)=TRUE,AK172+0.5,"")</f>
        <v>82</v>
      </c>
      <c r="AL173" s="25">
        <f t="shared" ca="1" si="33"/>
        <v>5.7</v>
      </c>
      <c r="AN173" s="25">
        <f t="shared" ca="1" si="34"/>
        <v>5.7</v>
      </c>
      <c r="AO173" s="25">
        <f t="shared" ca="1" si="35"/>
        <v>5.9</v>
      </c>
      <c r="AP173" s="25">
        <f t="shared" ca="1" si="36"/>
        <v>1.1000000000000001</v>
      </c>
      <c r="AU173" s="25">
        <f t="shared" ca="1" si="37"/>
        <v>6.3</v>
      </c>
      <c r="BU173" s="4">
        <v>85.5</v>
      </c>
      <c r="BV173" s="4">
        <f t="shared" si="32"/>
        <v>6.6</v>
      </c>
    </row>
    <row r="174" spans="37:74" hidden="1" x14ac:dyDescent="0.25">
      <c r="AK174" s="24">
        <f>IF(AND($D$15&lt;&gt;"",MAX($AK$9:AK173)&lt;$D$15)=TRUE,AK173+0.5,"")</f>
        <v>82.5</v>
      </c>
      <c r="AL174" s="25">
        <f t="shared" ca="1" si="33"/>
        <v>5.7</v>
      </c>
      <c r="AN174" s="25">
        <f t="shared" ca="1" si="34"/>
        <v>5.7</v>
      </c>
      <c r="AO174" s="25">
        <f t="shared" ca="1" si="35"/>
        <v>6</v>
      </c>
      <c r="AP174" s="25">
        <f t="shared" ca="1" si="36"/>
        <v>1.1000000000000001</v>
      </c>
      <c r="AU174" s="25">
        <f t="shared" ca="1" si="37"/>
        <v>6.3</v>
      </c>
      <c r="BU174" s="4">
        <v>86</v>
      </c>
      <c r="BV174" s="4">
        <f t="shared" si="32"/>
        <v>6.7</v>
      </c>
    </row>
    <row r="175" spans="37:74" hidden="1" x14ac:dyDescent="0.25">
      <c r="AK175" s="24">
        <f>IF(AND($D$15&lt;&gt;"",MAX($AK$9:AK174)&lt;$D$15)=TRUE,AK174+0.5,"")</f>
        <v>83</v>
      </c>
      <c r="AL175" s="25">
        <f t="shared" ca="1" si="33"/>
        <v>5.7</v>
      </c>
      <c r="AN175" s="25">
        <f t="shared" ca="1" si="34"/>
        <v>5.7</v>
      </c>
      <c r="AO175" s="25">
        <f t="shared" ca="1" si="35"/>
        <v>6</v>
      </c>
      <c r="AP175" s="25">
        <f t="shared" ca="1" si="36"/>
        <v>1.1000000000000001</v>
      </c>
      <c r="AU175" s="25">
        <f t="shared" ca="1" si="37"/>
        <v>6.3</v>
      </c>
      <c r="BU175" s="4">
        <v>86.5</v>
      </c>
      <c r="BV175" s="4">
        <f t="shared" si="32"/>
        <v>6.7</v>
      </c>
    </row>
    <row r="176" spans="37:74" hidden="1" x14ac:dyDescent="0.25">
      <c r="AK176" s="24">
        <f>IF(AND($D$15&lt;&gt;"",MAX($AK$9:AK175)&lt;$D$15)=TRUE,AK175+0.5,"")</f>
        <v>83.5</v>
      </c>
      <c r="AL176" s="25">
        <f t="shared" ca="1" si="33"/>
        <v>5.8</v>
      </c>
      <c r="AN176" s="25">
        <f t="shared" ca="1" si="34"/>
        <v>5.8</v>
      </c>
      <c r="AO176" s="25">
        <f t="shared" ca="1" si="35"/>
        <v>6</v>
      </c>
      <c r="AP176" s="25">
        <f t="shared" ca="1" si="36"/>
        <v>1.1000000000000001</v>
      </c>
      <c r="AU176" s="25">
        <f t="shared" ca="1" si="37"/>
        <v>6.3</v>
      </c>
      <c r="BU176" s="4">
        <v>87</v>
      </c>
      <c r="BV176" s="4">
        <f t="shared" si="32"/>
        <v>6.8</v>
      </c>
    </row>
    <row r="177" spans="37:74" hidden="1" x14ac:dyDescent="0.25">
      <c r="AK177" s="24">
        <f>IF(AND($D$15&lt;&gt;"",MAX($AK$9:AK176)&lt;$D$15)=TRUE,AK176+0.5,"")</f>
        <v>84</v>
      </c>
      <c r="AL177" s="25">
        <f t="shared" ca="1" si="33"/>
        <v>5.8</v>
      </c>
      <c r="AN177" s="25">
        <f t="shared" ca="1" si="34"/>
        <v>5.8</v>
      </c>
      <c r="AO177" s="25">
        <f t="shared" ca="1" si="35"/>
        <v>6</v>
      </c>
      <c r="AP177" s="25">
        <f t="shared" ca="1" si="36"/>
        <v>1.1000000000000001</v>
      </c>
      <c r="AU177" s="25">
        <f t="shared" ca="1" si="37"/>
        <v>6.3</v>
      </c>
      <c r="BU177" s="4">
        <v>87.5</v>
      </c>
      <c r="BV177" s="4">
        <f t="shared" si="32"/>
        <v>6.8</v>
      </c>
    </row>
    <row r="178" spans="37:74" hidden="1" x14ac:dyDescent="0.25">
      <c r="AK178" s="24">
        <f>IF(AND($D$15&lt;&gt;"",MAX($AK$9:AK177)&lt;$D$15)=TRUE,AK177+0.5,"")</f>
        <v>84.5</v>
      </c>
      <c r="AL178" s="25">
        <f t="shared" ca="1" si="33"/>
        <v>5.8</v>
      </c>
      <c r="AN178" s="25">
        <f t="shared" ca="1" si="34"/>
        <v>5.8</v>
      </c>
      <c r="AO178" s="25">
        <f t="shared" ca="1" si="35"/>
        <v>6.1</v>
      </c>
      <c r="AP178" s="25">
        <f t="shared" ca="1" si="36"/>
        <v>1.2</v>
      </c>
      <c r="AU178" s="25">
        <f t="shared" ca="1" si="37"/>
        <v>6.4</v>
      </c>
      <c r="BU178" s="4">
        <v>88</v>
      </c>
      <c r="BV178" s="4">
        <f t="shared" si="32"/>
        <v>6.8</v>
      </c>
    </row>
    <row r="179" spans="37:74" hidden="1" x14ac:dyDescent="0.25">
      <c r="AK179" s="24">
        <f>IF(AND($D$15&lt;&gt;"",MAX($AK$9:AK178)&lt;$D$15)=TRUE,AK178+0.5,"")</f>
        <v>85</v>
      </c>
      <c r="AL179" s="25">
        <f t="shared" ca="1" si="33"/>
        <v>5.9</v>
      </c>
      <c r="AN179" s="25">
        <f t="shared" ca="1" si="34"/>
        <v>5.9</v>
      </c>
      <c r="AO179" s="25">
        <f t="shared" ca="1" si="35"/>
        <v>6.1</v>
      </c>
      <c r="AP179" s="25">
        <f t="shared" ca="1" si="36"/>
        <v>1.2</v>
      </c>
      <c r="AU179" s="25">
        <f t="shared" ca="1" si="37"/>
        <v>6.4</v>
      </c>
      <c r="BU179" s="4">
        <v>88.5</v>
      </c>
      <c r="BV179" s="4">
        <f t="shared" si="32"/>
        <v>6.9</v>
      </c>
    </row>
    <row r="180" spans="37:74" hidden="1" x14ac:dyDescent="0.25">
      <c r="AK180" s="24">
        <f>IF(AND($D$15&lt;&gt;"",MAX($AK$9:AK179)&lt;$D$15)=TRUE,AK179+0.5,"")</f>
        <v>85.5</v>
      </c>
      <c r="AL180" s="25">
        <f t="shared" ca="1" si="33"/>
        <v>5.9</v>
      </c>
      <c r="AN180" s="25">
        <f t="shared" ca="1" si="34"/>
        <v>5.9</v>
      </c>
      <c r="AO180" s="25">
        <f t="shared" ca="1" si="35"/>
        <v>6.1</v>
      </c>
      <c r="AP180" s="25">
        <f t="shared" ca="1" si="36"/>
        <v>1.2</v>
      </c>
      <c r="AU180" s="25">
        <f t="shared" ca="1" si="37"/>
        <v>6.4</v>
      </c>
      <c r="BU180" s="4">
        <v>89</v>
      </c>
      <c r="BV180" s="4">
        <f t="shared" si="32"/>
        <v>6.9</v>
      </c>
    </row>
    <row r="181" spans="37:74" hidden="1" x14ac:dyDescent="0.25">
      <c r="AK181" s="24">
        <f>IF(AND($D$15&lt;&gt;"",MAX($AK$9:AK180)&lt;$D$15)=TRUE,AK180+0.5,"")</f>
        <v>86</v>
      </c>
      <c r="AL181" s="25">
        <f t="shared" ca="1" si="33"/>
        <v>6</v>
      </c>
      <c r="AN181" s="25">
        <f t="shared" ca="1" si="34"/>
        <v>6</v>
      </c>
      <c r="AO181" s="25">
        <f t="shared" ca="1" si="35"/>
        <v>6.2</v>
      </c>
      <c r="AP181" s="25">
        <f t="shared" ca="1" si="36"/>
        <v>1.3</v>
      </c>
      <c r="AU181" s="25">
        <f t="shared" ca="1" si="37"/>
        <v>6.5</v>
      </c>
      <c r="BU181" s="4">
        <v>89.5</v>
      </c>
      <c r="BV181" s="4">
        <f t="shared" si="32"/>
        <v>7</v>
      </c>
    </row>
    <row r="182" spans="37:74" hidden="1" x14ac:dyDescent="0.25">
      <c r="AK182" s="24">
        <f>IF(AND($D$15&lt;&gt;"",MAX($AK$9:AK181)&lt;$D$15)=TRUE,AK181+0.5,"")</f>
        <v>86.5</v>
      </c>
      <c r="AL182" s="25">
        <f t="shared" ca="1" si="33"/>
        <v>6</v>
      </c>
      <c r="AN182" s="25">
        <f t="shared" ca="1" si="34"/>
        <v>6</v>
      </c>
      <c r="AO182" s="25">
        <f t="shared" ca="1" si="35"/>
        <v>6.2</v>
      </c>
      <c r="AP182" s="25">
        <f t="shared" ca="1" si="36"/>
        <v>1.3</v>
      </c>
      <c r="AU182" s="25">
        <f t="shared" ca="1" si="37"/>
        <v>6.5</v>
      </c>
      <c r="BU182" s="4">
        <v>90</v>
      </c>
      <c r="BV182" s="4">
        <f t="shared" si="32"/>
        <v>7</v>
      </c>
    </row>
    <row r="183" spans="37:74" hidden="1" x14ac:dyDescent="0.25">
      <c r="AK183" s="24">
        <f>IF(AND($D$15&lt;&gt;"",MAX($AK$9:AK182)&lt;$D$15)=TRUE,AK182+0.5,"")</f>
        <v>87</v>
      </c>
      <c r="AL183" s="25">
        <f t="shared" ca="1" si="33"/>
        <v>6</v>
      </c>
      <c r="AN183" s="25">
        <f t="shared" ca="1" si="34"/>
        <v>6</v>
      </c>
      <c r="AO183" s="25">
        <f t="shared" ca="1" si="35"/>
        <v>6.2</v>
      </c>
      <c r="AP183" s="25">
        <f t="shared" ca="1" si="36"/>
        <v>1.3</v>
      </c>
      <c r="AU183" s="25">
        <f t="shared" ca="1" si="37"/>
        <v>6.5</v>
      </c>
      <c r="BU183" s="4">
        <v>90.5</v>
      </c>
      <c r="BV183" s="4">
        <f t="shared" si="32"/>
        <v>7</v>
      </c>
    </row>
    <row r="184" spans="37:74" hidden="1" x14ac:dyDescent="0.25">
      <c r="AK184" s="24">
        <f>IF(AND($D$15&lt;&gt;"",MAX($AK$9:AK183)&lt;$D$15)=TRUE,AK183+0.5,"")</f>
        <v>87.5</v>
      </c>
      <c r="AL184" s="25">
        <f t="shared" ca="1" si="33"/>
        <v>6.1</v>
      </c>
      <c r="AN184" s="25">
        <f t="shared" ca="1" si="34"/>
        <v>6.1</v>
      </c>
      <c r="AO184" s="25">
        <f t="shared" ca="1" si="35"/>
        <v>6.3</v>
      </c>
      <c r="AP184" s="25">
        <f t="shared" ca="1" si="36"/>
        <v>1.3</v>
      </c>
      <c r="AU184" s="25">
        <f t="shared" ca="1" si="37"/>
        <v>6.5</v>
      </c>
      <c r="BU184" s="4">
        <v>91</v>
      </c>
      <c r="BV184" s="4">
        <f t="shared" si="32"/>
        <v>7.1</v>
      </c>
    </row>
    <row r="185" spans="37:74" hidden="1" x14ac:dyDescent="0.25">
      <c r="AK185" s="24">
        <f>IF(AND($D$15&lt;&gt;"",MAX($AK$9:AK184)&lt;$D$15)=TRUE,AK184+0.5,"")</f>
        <v>88</v>
      </c>
      <c r="AL185" s="25">
        <f t="shared" ca="1" si="33"/>
        <v>6.1</v>
      </c>
      <c r="AN185" s="25">
        <f t="shared" ca="1" si="34"/>
        <v>6.1</v>
      </c>
      <c r="AO185" s="25">
        <f t="shared" ca="1" si="35"/>
        <v>6.3</v>
      </c>
      <c r="AP185" s="25">
        <f t="shared" ca="1" si="36"/>
        <v>1.3</v>
      </c>
      <c r="AU185" s="25">
        <f t="shared" ca="1" si="37"/>
        <v>6.5</v>
      </c>
      <c r="BU185" s="4">
        <v>91.5</v>
      </c>
      <c r="BV185" s="4">
        <f t="shared" si="32"/>
        <v>7.1</v>
      </c>
    </row>
    <row r="186" spans="37:74" hidden="1" x14ac:dyDescent="0.25">
      <c r="AK186" s="24">
        <f>IF(AND($D$15&lt;&gt;"",MAX($AK$9:AK185)&lt;$D$15)=TRUE,AK185+0.5,"")</f>
        <v>88.5</v>
      </c>
      <c r="AL186" s="25">
        <f t="shared" ca="1" si="33"/>
        <v>6.1</v>
      </c>
      <c r="AN186" s="25">
        <f t="shared" ca="1" si="34"/>
        <v>6.1</v>
      </c>
      <c r="AO186" s="25">
        <f t="shared" ca="1" si="35"/>
        <v>6.3</v>
      </c>
      <c r="AP186" s="25">
        <f t="shared" ca="1" si="36"/>
        <v>1.3</v>
      </c>
      <c r="AU186" s="25">
        <f t="shared" ca="1" si="37"/>
        <v>6.5</v>
      </c>
      <c r="BU186" s="4">
        <v>92</v>
      </c>
      <c r="BV186" s="4">
        <f t="shared" si="32"/>
        <v>7.2</v>
      </c>
    </row>
    <row r="187" spans="37:74" hidden="1" x14ac:dyDescent="0.25">
      <c r="AK187" s="24">
        <f>IF(AND($D$15&lt;&gt;"",MAX($AK$9:AK186)&lt;$D$15)=TRUE,AK186+0.5,"")</f>
        <v>89</v>
      </c>
      <c r="AL187" s="25">
        <f t="shared" ca="1" si="33"/>
        <v>6.2</v>
      </c>
      <c r="AN187" s="25">
        <f t="shared" ca="1" si="34"/>
        <v>6.2</v>
      </c>
      <c r="AO187" s="25">
        <f t="shared" ca="1" si="35"/>
        <v>6.3</v>
      </c>
      <c r="AP187" s="25">
        <f t="shared" ca="1" si="36"/>
        <v>1.3</v>
      </c>
      <c r="AU187" s="25">
        <f t="shared" ca="1" si="37"/>
        <v>6.5</v>
      </c>
      <c r="BU187" s="4">
        <v>92.5</v>
      </c>
      <c r="BV187" s="4">
        <f t="shared" si="32"/>
        <v>7.2</v>
      </c>
    </row>
    <row r="188" spans="37:74" hidden="1" x14ac:dyDescent="0.25">
      <c r="AK188" s="24">
        <f>IF(AND($D$15&lt;&gt;"",MAX($AK$9:AK187)&lt;$D$15)=TRUE,AK187+0.5,"")</f>
        <v>89.5</v>
      </c>
      <c r="AL188" s="25">
        <f t="shared" ca="1" si="33"/>
        <v>6.2</v>
      </c>
      <c r="AN188" s="25">
        <f t="shared" ca="1" si="34"/>
        <v>6.2</v>
      </c>
      <c r="AO188" s="25">
        <f t="shared" ca="1" si="35"/>
        <v>6.4</v>
      </c>
      <c r="AP188" s="25">
        <f t="shared" ca="1" si="36"/>
        <v>1.4</v>
      </c>
      <c r="AU188" s="25">
        <f t="shared" ca="1" si="37"/>
        <v>6.6</v>
      </c>
      <c r="BU188" s="4">
        <v>93</v>
      </c>
      <c r="BV188" s="4">
        <f t="shared" si="32"/>
        <v>7.3</v>
      </c>
    </row>
    <row r="189" spans="37:74" hidden="1" x14ac:dyDescent="0.25">
      <c r="AK189" s="24">
        <f>IF(AND($D$15&lt;&gt;"",MAX($AK$9:AK188)&lt;$D$15)=TRUE,AK188+0.5,"")</f>
        <v>90</v>
      </c>
      <c r="AL189" s="25">
        <f t="shared" ca="1" si="33"/>
        <v>6.3</v>
      </c>
      <c r="AN189" s="25">
        <f t="shared" ca="1" si="34"/>
        <v>6.3</v>
      </c>
      <c r="AO189" s="25">
        <f t="shared" ca="1" si="35"/>
        <v>6.4</v>
      </c>
      <c r="AP189" s="25">
        <f t="shared" ca="1" si="36"/>
        <v>1.4</v>
      </c>
      <c r="AU189" s="25">
        <f t="shared" ca="1" si="37"/>
        <v>6.6</v>
      </c>
      <c r="BU189" s="4">
        <v>93.5</v>
      </c>
      <c r="BV189" s="4">
        <f t="shared" si="32"/>
        <v>7.3</v>
      </c>
    </row>
    <row r="190" spans="37:74" hidden="1" x14ac:dyDescent="0.25">
      <c r="AK190" s="24">
        <f>IF(AND($D$15&lt;&gt;"",MAX($AK$9:AK189)&lt;$D$15)=TRUE,AK189+0.5,"")</f>
        <v>90.5</v>
      </c>
      <c r="AL190" s="25">
        <f t="shared" ca="1" si="33"/>
        <v>6.3</v>
      </c>
      <c r="AN190" s="25">
        <f t="shared" ca="1" si="34"/>
        <v>6.3</v>
      </c>
      <c r="AO190" s="25">
        <f t="shared" ca="1" si="35"/>
        <v>6.4</v>
      </c>
      <c r="AP190" s="25">
        <f t="shared" ca="1" si="36"/>
        <v>1.4</v>
      </c>
      <c r="AU190" s="25">
        <f t="shared" ca="1" si="37"/>
        <v>6.6</v>
      </c>
      <c r="BU190" s="4">
        <v>94</v>
      </c>
      <c r="BV190" s="4">
        <f t="shared" si="32"/>
        <v>7.3</v>
      </c>
    </row>
    <row r="191" spans="37:74" hidden="1" x14ac:dyDescent="0.25">
      <c r="AK191" s="24">
        <f>IF(AND($D$15&lt;&gt;"",MAX($AK$9:AK190)&lt;$D$15)=TRUE,AK190+0.5,"")</f>
        <v>91</v>
      </c>
      <c r="AL191" s="25">
        <f t="shared" ca="1" si="33"/>
        <v>6.3</v>
      </c>
      <c r="AN191" s="25">
        <f t="shared" ca="1" si="34"/>
        <v>6.3</v>
      </c>
      <c r="AO191" s="25">
        <f t="shared" ca="1" si="35"/>
        <v>6.5</v>
      </c>
      <c r="AP191" s="25">
        <f t="shared" ca="1" si="36"/>
        <v>1.4</v>
      </c>
      <c r="AU191" s="25">
        <f t="shared" ca="1" si="37"/>
        <v>6.6</v>
      </c>
      <c r="BU191" s="4">
        <v>94.5</v>
      </c>
      <c r="BV191" s="4">
        <f t="shared" si="32"/>
        <v>7.4</v>
      </c>
    </row>
    <row r="192" spans="37:74" hidden="1" x14ac:dyDescent="0.25">
      <c r="AK192" s="24">
        <f>IF(AND($D$15&lt;&gt;"",MAX($AK$9:AK191)&lt;$D$15)=TRUE,AK191+0.5,"")</f>
        <v>91.5</v>
      </c>
      <c r="AL192" s="25">
        <f t="shared" ca="1" si="33"/>
        <v>6.4</v>
      </c>
      <c r="AN192" s="25">
        <f t="shared" ca="1" si="34"/>
        <v>6.4</v>
      </c>
      <c r="AO192" s="25">
        <f t="shared" ca="1" si="35"/>
        <v>6.5</v>
      </c>
      <c r="AP192" s="25">
        <f t="shared" ca="1" si="36"/>
        <v>1.4</v>
      </c>
      <c r="AU192" s="25">
        <f t="shared" ca="1" si="37"/>
        <v>6.6</v>
      </c>
      <c r="BU192" s="4">
        <v>95</v>
      </c>
      <c r="BV192" s="4">
        <f t="shared" si="32"/>
        <v>7.4</v>
      </c>
    </row>
    <row r="193" spans="37:74" hidden="1" x14ac:dyDescent="0.25">
      <c r="AK193" s="24">
        <f>IF(AND($D$15&lt;&gt;"",MAX($AK$9:AK192)&lt;$D$15)=TRUE,AK192+0.5,"")</f>
        <v>92</v>
      </c>
      <c r="AL193" s="25">
        <f t="shared" ca="1" si="33"/>
        <v>6.4</v>
      </c>
      <c r="AN193" s="25">
        <f t="shared" ca="1" si="34"/>
        <v>6.4</v>
      </c>
      <c r="AO193" s="25">
        <f t="shared" ca="1" si="35"/>
        <v>6.5</v>
      </c>
      <c r="AP193" s="25">
        <f t="shared" ca="1" si="36"/>
        <v>1.4</v>
      </c>
      <c r="AU193" s="25">
        <f t="shared" ca="1" si="37"/>
        <v>6.6</v>
      </c>
      <c r="BU193" s="4">
        <v>95.5</v>
      </c>
      <c r="BV193" s="4">
        <f t="shared" si="32"/>
        <v>7.5</v>
      </c>
    </row>
    <row r="194" spans="37:74" hidden="1" x14ac:dyDescent="0.25">
      <c r="AK194" s="24">
        <f>IF(AND($D$15&lt;&gt;"",MAX($AK$9:AK193)&lt;$D$15)=TRUE,AK193+0.5,"")</f>
        <v>92.5</v>
      </c>
      <c r="AL194" s="25">
        <f t="shared" ca="1" si="33"/>
        <v>6.4</v>
      </c>
      <c r="AN194" s="25">
        <f t="shared" ca="1" si="34"/>
        <v>6.4</v>
      </c>
      <c r="AO194" s="25">
        <f t="shared" ca="1" si="35"/>
        <v>6.6</v>
      </c>
      <c r="AP194" s="25">
        <f t="shared" ca="1" si="36"/>
        <v>1.5</v>
      </c>
      <c r="AU194" s="25">
        <f t="shared" ca="1" si="37"/>
        <v>6.7</v>
      </c>
      <c r="BU194" s="4">
        <v>96</v>
      </c>
      <c r="BV194" s="4">
        <f t="shared" si="32"/>
        <v>7.5</v>
      </c>
    </row>
    <row r="195" spans="37:74" hidden="1" x14ac:dyDescent="0.25">
      <c r="AK195" s="24">
        <f>IF(AND($D$15&lt;&gt;"",MAX($AK$9:AK194)&lt;$D$15)=TRUE,AK194+0.5,"")</f>
        <v>93</v>
      </c>
      <c r="AL195" s="25">
        <f t="shared" ca="1" si="33"/>
        <v>6.5</v>
      </c>
      <c r="AN195" s="25">
        <f t="shared" ca="1" si="34"/>
        <v>6.5</v>
      </c>
      <c r="AO195" s="25">
        <f t="shared" ca="1" si="35"/>
        <v>6.6</v>
      </c>
      <c r="AP195" s="25">
        <f t="shared" ca="1" si="36"/>
        <v>1.5</v>
      </c>
      <c r="AU195" s="25">
        <f t="shared" ca="1" si="37"/>
        <v>6.7</v>
      </c>
      <c r="BU195" s="4">
        <v>96.5</v>
      </c>
      <c r="BV195" s="4">
        <f t="shared" ref="BV195:BV258" si="38">IFERROR(IF(AND($BS$2&gt;=5,$BS$2&lt;=29),HLOOKUP($BS$2,$BX$1:$CV$60,$BT195,FALSE),IF(BU195&gt;=0.6*$BS$2*2,ROUND(((7-4)/($BS$2*2-0.6*$BS$2*2))*(BU195-0.6*$BS$2*2)+4,1),ROUND(((4-1)/(0.6*$BS$2*2))*BU195+1,1))),"")</f>
        <v>7.5</v>
      </c>
    </row>
    <row r="196" spans="37:74" hidden="1" x14ac:dyDescent="0.25">
      <c r="AK196" s="24">
        <f>IF(AND($D$15&lt;&gt;"",MAX($AK$9:AK195)&lt;$D$15)=TRUE,AK195+0.5,"")</f>
        <v>93.5</v>
      </c>
      <c r="AL196" s="25">
        <f t="shared" ca="1" si="33"/>
        <v>6.5</v>
      </c>
      <c r="AN196" s="25">
        <f t="shared" ca="1" si="34"/>
        <v>6.5</v>
      </c>
      <c r="AO196" s="25">
        <f t="shared" ca="1" si="35"/>
        <v>6.6</v>
      </c>
      <c r="AP196" s="25">
        <f t="shared" ca="1" si="36"/>
        <v>1.5</v>
      </c>
      <c r="AU196" s="25">
        <f t="shared" ca="1" si="37"/>
        <v>6.7</v>
      </c>
      <c r="BU196" s="4">
        <v>97</v>
      </c>
      <c r="BV196" s="4">
        <f t="shared" si="38"/>
        <v>7.6</v>
      </c>
    </row>
    <row r="197" spans="37:74" hidden="1" x14ac:dyDescent="0.25">
      <c r="AK197" s="24">
        <f>IF(AND($D$15&lt;&gt;"",MAX($AK$9:AK196)&lt;$D$15)=TRUE,AK196+0.5,"")</f>
        <v>94</v>
      </c>
      <c r="AL197" s="25">
        <f t="shared" ca="1" si="33"/>
        <v>6.6</v>
      </c>
      <c r="AN197" s="25">
        <f t="shared" ca="1" si="34"/>
        <v>6.6</v>
      </c>
      <c r="AO197" s="25">
        <f t="shared" ca="1" si="35"/>
        <v>6.6</v>
      </c>
      <c r="AP197" s="25">
        <f t="shared" ca="1" si="36"/>
        <v>1.5</v>
      </c>
      <c r="AU197" s="25">
        <f t="shared" ca="1" si="37"/>
        <v>6.7</v>
      </c>
      <c r="BU197" s="4">
        <v>97.5</v>
      </c>
      <c r="BV197" s="4">
        <f t="shared" si="38"/>
        <v>7.6</v>
      </c>
    </row>
    <row r="198" spans="37:74" hidden="1" x14ac:dyDescent="0.25">
      <c r="AK198" s="24">
        <f>IF(AND($D$15&lt;&gt;"",MAX($AK$9:AK197)&lt;$D$15)=TRUE,AK197+0.5,"")</f>
        <v>94.5</v>
      </c>
      <c r="AL198" s="25">
        <f t="shared" ca="1" si="33"/>
        <v>6.6</v>
      </c>
      <c r="AN198" s="25">
        <f t="shared" ca="1" si="34"/>
        <v>6.6</v>
      </c>
      <c r="AO198" s="25">
        <f t="shared" ca="1" si="35"/>
        <v>6.7</v>
      </c>
      <c r="AP198" s="25">
        <f t="shared" ca="1" si="36"/>
        <v>1.5</v>
      </c>
      <c r="AU198" s="25">
        <f t="shared" ca="1" si="37"/>
        <v>6.7</v>
      </c>
      <c r="BU198" s="4">
        <v>98</v>
      </c>
      <c r="BV198" s="4">
        <f t="shared" si="38"/>
        <v>7.7</v>
      </c>
    </row>
    <row r="199" spans="37:74" hidden="1" x14ac:dyDescent="0.25">
      <c r="AK199" s="24">
        <f>IF(AND($D$15&lt;&gt;"",MAX($AK$9:AK198)&lt;$D$15)=TRUE,AK198+0.5,"")</f>
        <v>95</v>
      </c>
      <c r="AL199" s="25">
        <f t="shared" ca="1" si="33"/>
        <v>6.6</v>
      </c>
      <c r="AN199" s="25">
        <f t="shared" ca="1" si="34"/>
        <v>6.6</v>
      </c>
      <c r="AO199" s="25">
        <f t="shared" ca="1" si="35"/>
        <v>6.7</v>
      </c>
      <c r="AP199" s="25">
        <f t="shared" ca="1" si="36"/>
        <v>1.5</v>
      </c>
      <c r="AU199" s="25">
        <f t="shared" ca="1" si="37"/>
        <v>6.7</v>
      </c>
      <c r="BU199" s="4">
        <v>98.5</v>
      </c>
      <c r="BV199" s="4">
        <f t="shared" si="38"/>
        <v>7.7</v>
      </c>
    </row>
    <row r="200" spans="37:74" hidden="1" x14ac:dyDescent="0.25">
      <c r="AK200" s="24">
        <f>IF(AND($D$15&lt;&gt;"",MAX($AK$9:AK199)&lt;$D$15)=TRUE,AK199+0.5,"")</f>
        <v>95.5</v>
      </c>
      <c r="AL200" s="25">
        <f t="shared" ca="1" si="33"/>
        <v>6.7</v>
      </c>
      <c r="AN200" s="25">
        <f t="shared" ca="1" si="34"/>
        <v>6.7</v>
      </c>
      <c r="AO200" s="25">
        <f t="shared" ca="1" si="35"/>
        <v>6.7</v>
      </c>
      <c r="AP200" s="25">
        <f t="shared" ca="1" si="36"/>
        <v>1.5</v>
      </c>
      <c r="AU200" s="25">
        <f t="shared" ca="1" si="37"/>
        <v>6.7</v>
      </c>
      <c r="BU200" s="4">
        <v>99</v>
      </c>
      <c r="BV200" s="4">
        <f t="shared" si="38"/>
        <v>7.8</v>
      </c>
    </row>
    <row r="201" spans="37:74" hidden="1" x14ac:dyDescent="0.25">
      <c r="AK201" s="24">
        <f>IF(AND($D$15&lt;&gt;"",MAX($AK$9:AK200)&lt;$D$15)=TRUE,AK200+0.5,"")</f>
        <v>96</v>
      </c>
      <c r="AL201" s="25">
        <f t="shared" ref="AL201:AL264" ca="1" si="39">IF(AK201&lt;=$D$15,IF($D$17=$AZ$9,AO201,IF($D$17=$AZ$10,AN201,IF($D$17=$AZ$11,AU201,""))),"")</f>
        <v>6.7</v>
      </c>
      <c r="AN201" s="25">
        <f t="shared" ca="1" si="34"/>
        <v>6.7</v>
      </c>
      <c r="AO201" s="25">
        <f t="shared" ca="1" si="35"/>
        <v>6.8</v>
      </c>
      <c r="AP201" s="25">
        <f t="shared" ca="1" si="36"/>
        <v>1.6</v>
      </c>
      <c r="AU201" s="25">
        <f t="shared" ca="1" si="37"/>
        <v>6.7</v>
      </c>
      <c r="BU201" s="4">
        <v>99.5</v>
      </c>
      <c r="BV201" s="4">
        <f t="shared" si="38"/>
        <v>7.8</v>
      </c>
    </row>
    <row r="202" spans="37:74" hidden="1" x14ac:dyDescent="0.25">
      <c r="AK202" s="24">
        <f>IF(AND($D$15&lt;&gt;"",MAX($AK$9:AK201)&lt;$D$15)=TRUE,AK201+0.5,"")</f>
        <v>96.5</v>
      </c>
      <c r="AL202" s="25">
        <f t="shared" ca="1" si="39"/>
        <v>6.7</v>
      </c>
      <c r="AN202" s="25">
        <f t="shared" ref="AN202:AN265" ca="1" si="40">IF($AN$1=2024,ROUND(IF(AK202&lt;$D$15*$D$13,(4-$D$9)*(AK202/($D$15*$D$13))+$D$9,($D$11-4)*((AK202-$D$15*$D$13)/($D$15*(1-$D$13)))+4),1),"")</f>
        <v>6.7</v>
      </c>
      <c r="AO202" s="25">
        <f t="shared" ref="AO202:AO265" ca="1" si="41">IF($AN$1=2024,IFERROR(IF(AK202&lt;=$D$15,ROUND(AK202/$D$15*($D$11-$D$9)+$D$9,1),""),""),"")</f>
        <v>6.8</v>
      </c>
      <c r="AP202" s="25">
        <f t="shared" ref="AP202:AP265" ca="1" si="42">IF($AN$1=2024,IF(AO202&lt;&gt;"",ROUND((AO202-AVERAGE($AO$9:$AO$609))/STDEV($AO$9:$AO$609),1),""),"")</f>
        <v>1.6</v>
      </c>
      <c r="AU202" s="25">
        <f t="shared" ref="AU202:AU265" ca="1" si="43">IF($AN$1=2024,IF(AP202&lt;&gt;"",IF(AP202=MIN($AP$9:$AP$609),1,IF(AP202=MAX($AP$9:$AP$609),7,ROUND(VLOOKUP(AP202,$AR$9:$AS$89,2,FALSE),1))),""),"")</f>
        <v>6.7</v>
      </c>
      <c r="BU202" s="4">
        <v>100</v>
      </c>
      <c r="BV202" s="4">
        <f t="shared" si="38"/>
        <v>7.8</v>
      </c>
    </row>
    <row r="203" spans="37:74" hidden="1" x14ac:dyDescent="0.25">
      <c r="AK203" s="24">
        <f>IF(AND($D$15&lt;&gt;"",MAX($AK$9:AK202)&lt;$D$15)=TRUE,AK202+0.5,"")</f>
        <v>97</v>
      </c>
      <c r="AL203" s="25">
        <f t="shared" ca="1" si="39"/>
        <v>6.8</v>
      </c>
      <c r="AN203" s="25">
        <f t="shared" ca="1" si="40"/>
        <v>6.8</v>
      </c>
      <c r="AO203" s="25">
        <f t="shared" ca="1" si="41"/>
        <v>6.8</v>
      </c>
      <c r="AP203" s="25">
        <f t="shared" ca="1" si="42"/>
        <v>1.6</v>
      </c>
      <c r="AU203" s="25">
        <f t="shared" ca="1" si="43"/>
        <v>6.7</v>
      </c>
      <c r="BU203" s="4">
        <v>100.5</v>
      </c>
      <c r="BV203" s="4">
        <f t="shared" si="38"/>
        <v>7.9</v>
      </c>
    </row>
    <row r="204" spans="37:74" hidden="1" x14ac:dyDescent="0.25">
      <c r="AK204" s="24">
        <f>IF(AND($D$15&lt;&gt;"",MAX($AK$9:AK203)&lt;$D$15)=TRUE,AK203+0.5,"")</f>
        <v>97.5</v>
      </c>
      <c r="AL204" s="25">
        <f t="shared" ca="1" si="39"/>
        <v>6.8</v>
      </c>
      <c r="AN204" s="25">
        <f t="shared" ca="1" si="40"/>
        <v>6.8</v>
      </c>
      <c r="AO204" s="25">
        <f t="shared" ca="1" si="41"/>
        <v>6.9</v>
      </c>
      <c r="AP204" s="25">
        <f t="shared" ca="1" si="42"/>
        <v>1.7</v>
      </c>
      <c r="AU204" s="25">
        <f t="shared" ca="1" si="43"/>
        <v>7</v>
      </c>
      <c r="BU204" s="4">
        <v>101</v>
      </c>
      <c r="BV204" s="4">
        <f t="shared" si="38"/>
        <v>7.9</v>
      </c>
    </row>
    <row r="205" spans="37:74" hidden="1" x14ac:dyDescent="0.25">
      <c r="AK205" s="24">
        <f>IF(AND($D$15&lt;&gt;"",MAX($AK$9:AK204)&lt;$D$15)=TRUE,AK204+0.5,"")</f>
        <v>98</v>
      </c>
      <c r="AL205" s="25">
        <f t="shared" ca="1" si="39"/>
        <v>6.9</v>
      </c>
      <c r="AN205" s="25">
        <f t="shared" ca="1" si="40"/>
        <v>6.9</v>
      </c>
      <c r="AO205" s="25">
        <f t="shared" ca="1" si="41"/>
        <v>6.9</v>
      </c>
      <c r="AP205" s="25">
        <f t="shared" ca="1" si="42"/>
        <v>1.7</v>
      </c>
      <c r="AU205" s="25">
        <f t="shared" ca="1" si="43"/>
        <v>7</v>
      </c>
      <c r="BU205" s="4">
        <v>101.5</v>
      </c>
      <c r="BV205" s="4">
        <f t="shared" si="38"/>
        <v>8</v>
      </c>
    </row>
    <row r="206" spans="37:74" hidden="1" x14ac:dyDescent="0.25">
      <c r="AK206" s="24">
        <f>IF(AND($D$15&lt;&gt;"",MAX($AK$9:AK205)&lt;$D$15)=TRUE,AK205+0.5,"")</f>
        <v>98.5</v>
      </c>
      <c r="AL206" s="25">
        <f t="shared" ca="1" si="39"/>
        <v>6.9</v>
      </c>
      <c r="AN206" s="25">
        <f t="shared" ca="1" si="40"/>
        <v>6.9</v>
      </c>
      <c r="AO206" s="25">
        <f t="shared" ca="1" si="41"/>
        <v>6.9</v>
      </c>
      <c r="AP206" s="25">
        <f t="shared" ca="1" si="42"/>
        <v>1.7</v>
      </c>
      <c r="AU206" s="25">
        <f t="shared" ca="1" si="43"/>
        <v>7</v>
      </c>
      <c r="BU206" s="4">
        <v>102</v>
      </c>
      <c r="BV206" s="4">
        <f t="shared" si="38"/>
        <v>8</v>
      </c>
    </row>
    <row r="207" spans="37:74" hidden="1" x14ac:dyDescent="0.25">
      <c r="AK207" s="24">
        <f>IF(AND($D$15&lt;&gt;"",MAX($AK$9:AK206)&lt;$D$15)=TRUE,AK206+0.5,"")</f>
        <v>99</v>
      </c>
      <c r="AL207" s="25">
        <f t="shared" ca="1" si="39"/>
        <v>6.9</v>
      </c>
      <c r="AN207" s="25">
        <f t="shared" ca="1" si="40"/>
        <v>6.9</v>
      </c>
      <c r="AO207" s="25">
        <f t="shared" ca="1" si="41"/>
        <v>6.9</v>
      </c>
      <c r="AP207" s="25">
        <f t="shared" ca="1" si="42"/>
        <v>1.7</v>
      </c>
      <c r="AU207" s="25">
        <f t="shared" ca="1" si="43"/>
        <v>7</v>
      </c>
      <c r="BU207" s="4">
        <v>102.5</v>
      </c>
      <c r="BV207" s="4">
        <f t="shared" si="38"/>
        <v>8</v>
      </c>
    </row>
    <row r="208" spans="37:74" hidden="1" x14ac:dyDescent="0.25">
      <c r="AK208" s="24">
        <f>IF(AND($D$15&lt;&gt;"",MAX($AK$9:AK207)&lt;$D$15)=TRUE,AK207+0.5,"")</f>
        <v>99.5</v>
      </c>
      <c r="AL208" s="25">
        <f t="shared" ca="1" si="39"/>
        <v>7</v>
      </c>
      <c r="AN208" s="25">
        <f t="shared" ca="1" si="40"/>
        <v>7</v>
      </c>
      <c r="AO208" s="25">
        <f t="shared" ca="1" si="41"/>
        <v>7</v>
      </c>
      <c r="AP208" s="25">
        <f t="shared" ca="1" si="42"/>
        <v>1.7</v>
      </c>
      <c r="AU208" s="25">
        <f t="shared" ca="1" si="43"/>
        <v>7</v>
      </c>
      <c r="BU208" s="4">
        <v>103</v>
      </c>
      <c r="BV208" s="4">
        <f t="shared" si="38"/>
        <v>8.1</v>
      </c>
    </row>
    <row r="209" spans="37:74" hidden="1" x14ac:dyDescent="0.25">
      <c r="AK209" s="24">
        <f>IF(AND($D$15&lt;&gt;"",MAX($AK$9:AK208)&lt;$D$15)=TRUE,AK208+0.5,"")</f>
        <v>100</v>
      </c>
      <c r="AL209" s="25">
        <f t="shared" ca="1" si="39"/>
        <v>7</v>
      </c>
      <c r="AN209" s="25">
        <f t="shared" ca="1" si="40"/>
        <v>7</v>
      </c>
      <c r="AO209" s="25">
        <f t="shared" ca="1" si="41"/>
        <v>7</v>
      </c>
      <c r="AP209" s="25">
        <f t="shared" ca="1" si="42"/>
        <v>1.7</v>
      </c>
      <c r="AU209" s="25">
        <f t="shared" ca="1" si="43"/>
        <v>7</v>
      </c>
      <c r="BU209" s="4">
        <v>103.5</v>
      </c>
      <c r="BV209" s="4">
        <f t="shared" si="38"/>
        <v>8.1</v>
      </c>
    </row>
    <row r="210" spans="37:74" hidden="1" x14ac:dyDescent="0.25">
      <c r="AK210" s="24" t="str">
        <f>IF(AND($D$15&lt;&gt;"",MAX($AK$9:AK209)&lt;$D$15)=TRUE,AK209+0.5,"")</f>
        <v/>
      </c>
      <c r="AL210" s="25" t="str">
        <f t="shared" si="39"/>
        <v/>
      </c>
      <c r="AN210" s="25" t="e">
        <f t="shared" ca="1" si="40"/>
        <v>#VALUE!</v>
      </c>
      <c r="AO210" s="25" t="str">
        <f t="shared" ca="1" si="41"/>
        <v/>
      </c>
      <c r="AP210" s="25" t="str">
        <f t="shared" ca="1" si="42"/>
        <v/>
      </c>
      <c r="AU210" s="25" t="str">
        <f t="shared" ca="1" si="43"/>
        <v/>
      </c>
      <c r="BU210" s="4">
        <v>104</v>
      </c>
      <c r="BV210" s="4">
        <f t="shared" si="38"/>
        <v>8.1999999999999993</v>
      </c>
    </row>
    <row r="211" spans="37:74" hidden="1" x14ac:dyDescent="0.25">
      <c r="AK211" s="24" t="str">
        <f>IF(AND($D$15&lt;&gt;"",MAX($AK$9:AK210)&lt;$D$15)=TRUE,AK210+0.5,"")</f>
        <v/>
      </c>
      <c r="AL211" s="25" t="str">
        <f t="shared" si="39"/>
        <v/>
      </c>
      <c r="AN211" s="25" t="e">
        <f t="shared" ca="1" si="40"/>
        <v>#VALUE!</v>
      </c>
      <c r="AO211" s="25" t="str">
        <f t="shared" ca="1" si="41"/>
        <v/>
      </c>
      <c r="AP211" s="25" t="str">
        <f t="shared" ca="1" si="42"/>
        <v/>
      </c>
      <c r="AU211" s="25" t="str">
        <f t="shared" ca="1" si="43"/>
        <v/>
      </c>
      <c r="BU211" s="4">
        <v>104.5</v>
      </c>
      <c r="BV211" s="4">
        <f t="shared" si="38"/>
        <v>8.1999999999999993</v>
      </c>
    </row>
    <row r="212" spans="37:74" hidden="1" x14ac:dyDescent="0.25">
      <c r="AK212" s="24" t="str">
        <f>IF(AND($D$15&lt;&gt;"",MAX($AK$9:AK211)&lt;$D$15)=TRUE,AK211+0.5,"")</f>
        <v/>
      </c>
      <c r="AL212" s="25" t="str">
        <f t="shared" si="39"/>
        <v/>
      </c>
      <c r="AN212" s="25" t="e">
        <f t="shared" ca="1" si="40"/>
        <v>#VALUE!</v>
      </c>
      <c r="AO212" s="25" t="str">
        <f t="shared" ca="1" si="41"/>
        <v/>
      </c>
      <c r="AP212" s="25" t="str">
        <f t="shared" ca="1" si="42"/>
        <v/>
      </c>
      <c r="AU212" s="25" t="str">
        <f t="shared" ca="1" si="43"/>
        <v/>
      </c>
      <c r="BU212" s="4">
        <v>105</v>
      </c>
      <c r="BV212" s="4">
        <f t="shared" si="38"/>
        <v>8.3000000000000007</v>
      </c>
    </row>
    <row r="213" spans="37:74" hidden="1" x14ac:dyDescent="0.25">
      <c r="AK213" s="24" t="str">
        <f>IF(AND($D$15&lt;&gt;"",MAX($AK$9:AK212)&lt;$D$15)=TRUE,AK212+0.5,"")</f>
        <v/>
      </c>
      <c r="AL213" s="25" t="str">
        <f t="shared" si="39"/>
        <v/>
      </c>
      <c r="AN213" s="25" t="e">
        <f t="shared" ca="1" si="40"/>
        <v>#VALUE!</v>
      </c>
      <c r="AO213" s="25" t="str">
        <f t="shared" ca="1" si="41"/>
        <v/>
      </c>
      <c r="AP213" s="25" t="str">
        <f t="shared" ca="1" si="42"/>
        <v/>
      </c>
      <c r="AU213" s="25" t="str">
        <f t="shared" ca="1" si="43"/>
        <v/>
      </c>
      <c r="BU213" s="4">
        <v>105.5</v>
      </c>
      <c r="BV213" s="4">
        <f t="shared" si="38"/>
        <v>8.3000000000000007</v>
      </c>
    </row>
    <row r="214" spans="37:74" hidden="1" x14ac:dyDescent="0.25">
      <c r="AK214" s="24" t="str">
        <f>IF(AND($D$15&lt;&gt;"",MAX($AK$9:AK213)&lt;$D$15)=TRUE,AK213+0.5,"")</f>
        <v/>
      </c>
      <c r="AL214" s="25" t="str">
        <f t="shared" si="39"/>
        <v/>
      </c>
      <c r="AN214" s="25" t="e">
        <f t="shared" ca="1" si="40"/>
        <v>#VALUE!</v>
      </c>
      <c r="AO214" s="25" t="str">
        <f t="shared" ca="1" si="41"/>
        <v/>
      </c>
      <c r="AP214" s="25" t="str">
        <f t="shared" ca="1" si="42"/>
        <v/>
      </c>
      <c r="AU214" s="25" t="str">
        <f t="shared" ca="1" si="43"/>
        <v/>
      </c>
      <c r="BU214" s="4">
        <v>106</v>
      </c>
      <c r="BV214" s="4">
        <f t="shared" si="38"/>
        <v>8.3000000000000007</v>
      </c>
    </row>
    <row r="215" spans="37:74" hidden="1" x14ac:dyDescent="0.25">
      <c r="AK215" s="24" t="str">
        <f>IF(AND($D$15&lt;&gt;"",MAX($AK$9:AK214)&lt;$D$15)=TRUE,AK214+0.5,"")</f>
        <v/>
      </c>
      <c r="AL215" s="25" t="str">
        <f t="shared" si="39"/>
        <v/>
      </c>
      <c r="AN215" s="25" t="e">
        <f t="shared" ca="1" si="40"/>
        <v>#VALUE!</v>
      </c>
      <c r="AO215" s="25" t="str">
        <f t="shared" ca="1" si="41"/>
        <v/>
      </c>
      <c r="AP215" s="25" t="str">
        <f t="shared" ca="1" si="42"/>
        <v/>
      </c>
      <c r="AU215" s="25" t="str">
        <f t="shared" ca="1" si="43"/>
        <v/>
      </c>
      <c r="BU215" s="4">
        <v>106.5</v>
      </c>
      <c r="BV215" s="4">
        <f t="shared" si="38"/>
        <v>8.4</v>
      </c>
    </row>
    <row r="216" spans="37:74" hidden="1" x14ac:dyDescent="0.25">
      <c r="AK216" s="24" t="str">
        <f>IF(AND($D$15&lt;&gt;"",MAX($AK$9:AK215)&lt;$D$15)=TRUE,AK215+0.5,"")</f>
        <v/>
      </c>
      <c r="AL216" s="25" t="str">
        <f t="shared" si="39"/>
        <v/>
      </c>
      <c r="AN216" s="25" t="e">
        <f t="shared" ca="1" si="40"/>
        <v>#VALUE!</v>
      </c>
      <c r="AO216" s="25" t="str">
        <f t="shared" ca="1" si="41"/>
        <v/>
      </c>
      <c r="AP216" s="25" t="str">
        <f t="shared" ca="1" si="42"/>
        <v/>
      </c>
      <c r="AU216" s="25" t="str">
        <f t="shared" ca="1" si="43"/>
        <v/>
      </c>
      <c r="BU216" s="4">
        <v>107</v>
      </c>
      <c r="BV216" s="4">
        <f t="shared" si="38"/>
        <v>8.4</v>
      </c>
    </row>
    <row r="217" spans="37:74" hidden="1" x14ac:dyDescent="0.25">
      <c r="AK217" s="24" t="str">
        <f>IF(AND($D$15&lt;&gt;"",MAX($AK$9:AK216)&lt;$D$15)=TRUE,AK216+0.5,"")</f>
        <v/>
      </c>
      <c r="AL217" s="25" t="str">
        <f t="shared" si="39"/>
        <v/>
      </c>
      <c r="AN217" s="25" t="e">
        <f t="shared" ca="1" si="40"/>
        <v>#VALUE!</v>
      </c>
      <c r="AO217" s="25" t="str">
        <f t="shared" ca="1" si="41"/>
        <v/>
      </c>
      <c r="AP217" s="25" t="str">
        <f t="shared" ca="1" si="42"/>
        <v/>
      </c>
      <c r="AU217" s="25" t="str">
        <f t="shared" ca="1" si="43"/>
        <v/>
      </c>
      <c r="BU217" s="4">
        <v>107.5</v>
      </c>
      <c r="BV217" s="4">
        <f t="shared" si="38"/>
        <v>8.5</v>
      </c>
    </row>
    <row r="218" spans="37:74" hidden="1" x14ac:dyDescent="0.25">
      <c r="AK218" s="24" t="str">
        <f>IF(AND($D$15&lt;&gt;"",MAX($AK$9:AK217)&lt;$D$15)=TRUE,AK217+0.5,"")</f>
        <v/>
      </c>
      <c r="AL218" s="25" t="str">
        <f t="shared" si="39"/>
        <v/>
      </c>
      <c r="AN218" s="25" t="e">
        <f t="shared" ca="1" si="40"/>
        <v>#VALUE!</v>
      </c>
      <c r="AO218" s="25" t="str">
        <f t="shared" ca="1" si="41"/>
        <v/>
      </c>
      <c r="AP218" s="25" t="str">
        <f t="shared" ca="1" si="42"/>
        <v/>
      </c>
      <c r="AU218" s="25" t="str">
        <f t="shared" ca="1" si="43"/>
        <v/>
      </c>
      <c r="BU218" s="4">
        <v>108</v>
      </c>
      <c r="BV218" s="4">
        <f t="shared" si="38"/>
        <v>8.5</v>
      </c>
    </row>
    <row r="219" spans="37:74" hidden="1" x14ac:dyDescent="0.25">
      <c r="AK219" s="24" t="str">
        <f>IF(AND($D$15&lt;&gt;"",MAX($AK$9:AK218)&lt;$D$15)=TRUE,AK218+0.5,"")</f>
        <v/>
      </c>
      <c r="AL219" s="25" t="str">
        <f t="shared" si="39"/>
        <v/>
      </c>
      <c r="AN219" s="25" t="e">
        <f t="shared" ca="1" si="40"/>
        <v>#VALUE!</v>
      </c>
      <c r="AO219" s="25" t="str">
        <f t="shared" ca="1" si="41"/>
        <v/>
      </c>
      <c r="AP219" s="25" t="str">
        <f t="shared" ca="1" si="42"/>
        <v/>
      </c>
      <c r="AU219" s="25" t="str">
        <f t="shared" ca="1" si="43"/>
        <v/>
      </c>
      <c r="BU219" s="4">
        <v>108.5</v>
      </c>
      <c r="BV219" s="4">
        <f t="shared" si="38"/>
        <v>8.5</v>
      </c>
    </row>
    <row r="220" spans="37:74" hidden="1" x14ac:dyDescent="0.25">
      <c r="AK220" s="24" t="str">
        <f>IF(AND($D$15&lt;&gt;"",MAX($AK$9:AK219)&lt;$D$15)=TRUE,AK219+0.5,"")</f>
        <v/>
      </c>
      <c r="AL220" s="25" t="str">
        <f t="shared" si="39"/>
        <v/>
      </c>
      <c r="AN220" s="25" t="e">
        <f t="shared" ca="1" si="40"/>
        <v>#VALUE!</v>
      </c>
      <c r="AO220" s="25" t="str">
        <f t="shared" ca="1" si="41"/>
        <v/>
      </c>
      <c r="AP220" s="25" t="str">
        <f t="shared" ca="1" si="42"/>
        <v/>
      </c>
      <c r="AU220" s="25" t="str">
        <f t="shared" ca="1" si="43"/>
        <v/>
      </c>
      <c r="BU220" s="4">
        <v>109</v>
      </c>
      <c r="BV220" s="4">
        <f t="shared" si="38"/>
        <v>8.6</v>
      </c>
    </row>
    <row r="221" spans="37:74" hidden="1" x14ac:dyDescent="0.25">
      <c r="AK221" s="24" t="str">
        <f>IF(AND($D$15&lt;&gt;"",MAX($AK$9:AK220)&lt;$D$15)=TRUE,AK220+0.5,"")</f>
        <v/>
      </c>
      <c r="AL221" s="25" t="str">
        <f t="shared" si="39"/>
        <v/>
      </c>
      <c r="AN221" s="25" t="e">
        <f t="shared" ca="1" si="40"/>
        <v>#VALUE!</v>
      </c>
      <c r="AO221" s="25" t="str">
        <f t="shared" ca="1" si="41"/>
        <v/>
      </c>
      <c r="AP221" s="25" t="str">
        <f t="shared" ca="1" si="42"/>
        <v/>
      </c>
      <c r="AU221" s="25" t="str">
        <f t="shared" ca="1" si="43"/>
        <v/>
      </c>
      <c r="BU221" s="4">
        <v>109.5</v>
      </c>
      <c r="BV221" s="4">
        <f t="shared" si="38"/>
        <v>8.6</v>
      </c>
    </row>
    <row r="222" spans="37:74" hidden="1" x14ac:dyDescent="0.25">
      <c r="AK222" s="24" t="str">
        <f>IF(AND($D$15&lt;&gt;"",MAX($AK$9:AK221)&lt;$D$15)=TRUE,AK221+0.5,"")</f>
        <v/>
      </c>
      <c r="AL222" s="25" t="str">
        <f t="shared" si="39"/>
        <v/>
      </c>
      <c r="AN222" s="25" t="e">
        <f t="shared" ca="1" si="40"/>
        <v>#VALUE!</v>
      </c>
      <c r="AO222" s="25" t="str">
        <f t="shared" ca="1" si="41"/>
        <v/>
      </c>
      <c r="AP222" s="25" t="str">
        <f t="shared" ca="1" si="42"/>
        <v/>
      </c>
      <c r="AU222" s="25" t="str">
        <f t="shared" ca="1" si="43"/>
        <v/>
      </c>
      <c r="BU222" s="4">
        <v>110</v>
      </c>
      <c r="BV222" s="4">
        <f t="shared" si="38"/>
        <v>8.6999999999999993</v>
      </c>
    </row>
    <row r="223" spans="37:74" hidden="1" x14ac:dyDescent="0.25">
      <c r="AK223" s="24" t="str">
        <f>IF(AND($D$15&lt;&gt;"",MAX($AK$9:AK222)&lt;$D$15)=TRUE,AK222+0.5,"")</f>
        <v/>
      </c>
      <c r="AL223" s="25" t="str">
        <f t="shared" si="39"/>
        <v/>
      </c>
      <c r="AN223" s="25" t="e">
        <f t="shared" ca="1" si="40"/>
        <v>#VALUE!</v>
      </c>
      <c r="AO223" s="25" t="str">
        <f t="shared" ca="1" si="41"/>
        <v/>
      </c>
      <c r="AP223" s="25" t="str">
        <f t="shared" ca="1" si="42"/>
        <v/>
      </c>
      <c r="AU223" s="25" t="str">
        <f t="shared" ca="1" si="43"/>
        <v/>
      </c>
      <c r="BU223" s="4">
        <v>110.5</v>
      </c>
      <c r="BV223" s="4">
        <f t="shared" si="38"/>
        <v>8.6999999999999993</v>
      </c>
    </row>
    <row r="224" spans="37:74" hidden="1" x14ac:dyDescent="0.25">
      <c r="AK224" s="24" t="str">
        <f>IF(AND($D$15&lt;&gt;"",MAX($AK$9:AK223)&lt;$D$15)=TRUE,AK223+0.5,"")</f>
        <v/>
      </c>
      <c r="AL224" s="25" t="str">
        <f t="shared" si="39"/>
        <v/>
      </c>
      <c r="AN224" s="25" t="e">
        <f t="shared" ca="1" si="40"/>
        <v>#VALUE!</v>
      </c>
      <c r="AO224" s="25" t="str">
        <f t="shared" ca="1" si="41"/>
        <v/>
      </c>
      <c r="AP224" s="25" t="str">
        <f t="shared" ca="1" si="42"/>
        <v/>
      </c>
      <c r="AU224" s="25" t="str">
        <f t="shared" ca="1" si="43"/>
        <v/>
      </c>
      <c r="BU224" s="4">
        <v>111</v>
      </c>
      <c r="BV224" s="4">
        <f t="shared" si="38"/>
        <v>8.8000000000000007</v>
      </c>
    </row>
    <row r="225" spans="37:74" hidden="1" x14ac:dyDescent="0.25">
      <c r="AK225" s="24" t="str">
        <f>IF(AND($D$15&lt;&gt;"",MAX($AK$9:AK224)&lt;$D$15)=TRUE,AK224+0.5,"")</f>
        <v/>
      </c>
      <c r="AL225" s="25" t="str">
        <f t="shared" si="39"/>
        <v/>
      </c>
      <c r="AN225" s="25" t="e">
        <f t="shared" ca="1" si="40"/>
        <v>#VALUE!</v>
      </c>
      <c r="AO225" s="25" t="str">
        <f t="shared" ca="1" si="41"/>
        <v/>
      </c>
      <c r="AP225" s="25" t="str">
        <f t="shared" ca="1" si="42"/>
        <v/>
      </c>
      <c r="AU225" s="25" t="str">
        <f t="shared" ca="1" si="43"/>
        <v/>
      </c>
      <c r="BU225" s="4">
        <v>111.5</v>
      </c>
      <c r="BV225" s="4">
        <f t="shared" si="38"/>
        <v>8.8000000000000007</v>
      </c>
    </row>
    <row r="226" spans="37:74" hidden="1" x14ac:dyDescent="0.25">
      <c r="AK226" s="24" t="str">
        <f>IF(AND($D$15&lt;&gt;"",MAX($AK$9:AK225)&lt;$D$15)=TRUE,AK225+0.5,"")</f>
        <v/>
      </c>
      <c r="AL226" s="25" t="str">
        <f t="shared" si="39"/>
        <v/>
      </c>
      <c r="AN226" s="25" t="e">
        <f t="shared" ca="1" si="40"/>
        <v>#VALUE!</v>
      </c>
      <c r="AO226" s="25" t="str">
        <f t="shared" ca="1" si="41"/>
        <v/>
      </c>
      <c r="AP226" s="25" t="str">
        <f t="shared" ca="1" si="42"/>
        <v/>
      </c>
      <c r="AU226" s="25" t="str">
        <f t="shared" ca="1" si="43"/>
        <v/>
      </c>
      <c r="BU226" s="4">
        <v>112</v>
      </c>
      <c r="BV226" s="4">
        <f t="shared" si="38"/>
        <v>8.8000000000000007</v>
      </c>
    </row>
    <row r="227" spans="37:74" hidden="1" x14ac:dyDescent="0.25">
      <c r="AK227" s="24" t="str">
        <f>IF(AND($D$15&lt;&gt;"",MAX($AK$9:AK226)&lt;$D$15)=TRUE,AK226+0.5,"")</f>
        <v/>
      </c>
      <c r="AL227" s="25" t="str">
        <f t="shared" si="39"/>
        <v/>
      </c>
      <c r="AN227" s="25" t="e">
        <f t="shared" ca="1" si="40"/>
        <v>#VALUE!</v>
      </c>
      <c r="AO227" s="25" t="str">
        <f t="shared" ca="1" si="41"/>
        <v/>
      </c>
      <c r="AP227" s="25" t="str">
        <f t="shared" ca="1" si="42"/>
        <v/>
      </c>
      <c r="AU227" s="25" t="str">
        <f t="shared" ca="1" si="43"/>
        <v/>
      </c>
      <c r="BU227" s="4">
        <v>112.5</v>
      </c>
      <c r="BV227" s="4">
        <f t="shared" si="38"/>
        <v>8.9</v>
      </c>
    </row>
    <row r="228" spans="37:74" hidden="1" x14ac:dyDescent="0.25">
      <c r="AK228" s="24" t="str">
        <f>IF(AND($D$15&lt;&gt;"",MAX($AK$9:AK227)&lt;$D$15)=TRUE,AK227+0.5,"")</f>
        <v/>
      </c>
      <c r="AL228" s="25" t="str">
        <f t="shared" si="39"/>
        <v/>
      </c>
      <c r="AN228" s="25" t="e">
        <f t="shared" ca="1" si="40"/>
        <v>#VALUE!</v>
      </c>
      <c r="AO228" s="25" t="str">
        <f t="shared" ca="1" si="41"/>
        <v/>
      </c>
      <c r="AP228" s="25" t="str">
        <f t="shared" ca="1" si="42"/>
        <v/>
      </c>
      <c r="AU228" s="25" t="str">
        <f t="shared" ca="1" si="43"/>
        <v/>
      </c>
      <c r="BU228" s="4">
        <v>113</v>
      </c>
      <c r="BV228" s="4">
        <f t="shared" si="38"/>
        <v>8.9</v>
      </c>
    </row>
    <row r="229" spans="37:74" hidden="1" x14ac:dyDescent="0.25">
      <c r="AK229" s="24" t="str">
        <f>IF(AND($D$15&lt;&gt;"",MAX($AK$9:AK228)&lt;$D$15)=TRUE,AK228+0.5,"")</f>
        <v/>
      </c>
      <c r="AL229" s="25" t="str">
        <f t="shared" si="39"/>
        <v/>
      </c>
      <c r="AN229" s="25" t="e">
        <f t="shared" ca="1" si="40"/>
        <v>#VALUE!</v>
      </c>
      <c r="AO229" s="25" t="str">
        <f t="shared" ca="1" si="41"/>
        <v/>
      </c>
      <c r="AP229" s="25" t="str">
        <f t="shared" ca="1" si="42"/>
        <v/>
      </c>
      <c r="AU229" s="25" t="str">
        <f t="shared" ca="1" si="43"/>
        <v/>
      </c>
      <c r="BU229" s="4">
        <v>113.5</v>
      </c>
      <c r="BV229" s="4">
        <f t="shared" si="38"/>
        <v>9</v>
      </c>
    </row>
    <row r="230" spans="37:74" hidden="1" x14ac:dyDescent="0.25">
      <c r="AK230" s="24" t="str">
        <f>IF(AND($D$15&lt;&gt;"",MAX($AK$9:AK229)&lt;$D$15)=TRUE,AK229+0.5,"")</f>
        <v/>
      </c>
      <c r="AL230" s="25" t="str">
        <f t="shared" si="39"/>
        <v/>
      </c>
      <c r="AN230" s="25" t="e">
        <f t="shared" ca="1" si="40"/>
        <v>#VALUE!</v>
      </c>
      <c r="AO230" s="25" t="str">
        <f t="shared" ca="1" si="41"/>
        <v/>
      </c>
      <c r="AP230" s="25" t="str">
        <f t="shared" ca="1" si="42"/>
        <v/>
      </c>
      <c r="AU230" s="25" t="str">
        <f t="shared" ca="1" si="43"/>
        <v/>
      </c>
      <c r="BU230" s="4">
        <v>114</v>
      </c>
      <c r="BV230" s="4">
        <f t="shared" si="38"/>
        <v>9</v>
      </c>
    </row>
    <row r="231" spans="37:74" hidden="1" x14ac:dyDescent="0.25">
      <c r="AK231" s="24" t="str">
        <f>IF(AND($D$15&lt;&gt;"",MAX($AK$9:AK230)&lt;$D$15)=TRUE,AK230+0.5,"")</f>
        <v/>
      </c>
      <c r="AL231" s="25" t="str">
        <f t="shared" si="39"/>
        <v/>
      </c>
      <c r="AN231" s="25" t="e">
        <f t="shared" ca="1" si="40"/>
        <v>#VALUE!</v>
      </c>
      <c r="AO231" s="25" t="str">
        <f t="shared" ca="1" si="41"/>
        <v/>
      </c>
      <c r="AP231" s="25" t="str">
        <f t="shared" ca="1" si="42"/>
        <v/>
      </c>
      <c r="AU231" s="25" t="str">
        <f t="shared" ca="1" si="43"/>
        <v/>
      </c>
      <c r="BU231" s="4">
        <v>114.5</v>
      </c>
      <c r="BV231" s="4">
        <f t="shared" si="38"/>
        <v>9</v>
      </c>
    </row>
    <row r="232" spans="37:74" hidden="1" x14ac:dyDescent="0.25">
      <c r="AK232" s="24" t="str">
        <f>IF(AND($D$15&lt;&gt;"",MAX($AK$9:AK231)&lt;$D$15)=TRUE,AK231+0.5,"")</f>
        <v/>
      </c>
      <c r="AL232" s="25" t="str">
        <f t="shared" si="39"/>
        <v/>
      </c>
      <c r="AN232" s="25" t="e">
        <f t="shared" ca="1" si="40"/>
        <v>#VALUE!</v>
      </c>
      <c r="AO232" s="25" t="str">
        <f t="shared" ca="1" si="41"/>
        <v/>
      </c>
      <c r="AP232" s="25" t="str">
        <f t="shared" ca="1" si="42"/>
        <v/>
      </c>
      <c r="AU232" s="25" t="str">
        <f t="shared" ca="1" si="43"/>
        <v/>
      </c>
      <c r="BU232" s="4">
        <v>115</v>
      </c>
      <c r="BV232" s="4">
        <f t="shared" si="38"/>
        <v>9.1</v>
      </c>
    </row>
    <row r="233" spans="37:74" hidden="1" x14ac:dyDescent="0.25">
      <c r="AK233" s="24" t="str">
        <f>IF(AND($D$15&lt;&gt;"",MAX($AK$9:AK232)&lt;$D$15)=TRUE,AK232+0.5,"")</f>
        <v/>
      </c>
      <c r="AL233" s="25" t="str">
        <f t="shared" si="39"/>
        <v/>
      </c>
      <c r="AN233" s="25" t="e">
        <f t="shared" ca="1" si="40"/>
        <v>#VALUE!</v>
      </c>
      <c r="AO233" s="25" t="str">
        <f t="shared" ca="1" si="41"/>
        <v/>
      </c>
      <c r="AP233" s="25" t="str">
        <f t="shared" ca="1" si="42"/>
        <v/>
      </c>
      <c r="AU233" s="25" t="str">
        <f t="shared" ca="1" si="43"/>
        <v/>
      </c>
      <c r="BU233" s="4">
        <v>115.5</v>
      </c>
      <c r="BV233" s="4">
        <f t="shared" si="38"/>
        <v>9.1</v>
      </c>
    </row>
    <row r="234" spans="37:74" hidden="1" x14ac:dyDescent="0.25">
      <c r="AK234" s="24" t="str">
        <f>IF(AND($D$15&lt;&gt;"",MAX($AK$9:AK233)&lt;$D$15)=TRUE,AK233+0.5,"")</f>
        <v/>
      </c>
      <c r="AL234" s="25" t="str">
        <f t="shared" si="39"/>
        <v/>
      </c>
      <c r="AN234" s="25" t="e">
        <f t="shared" ca="1" si="40"/>
        <v>#VALUE!</v>
      </c>
      <c r="AO234" s="25" t="str">
        <f t="shared" ca="1" si="41"/>
        <v/>
      </c>
      <c r="AP234" s="25" t="str">
        <f t="shared" ca="1" si="42"/>
        <v/>
      </c>
      <c r="AU234" s="25" t="str">
        <f t="shared" ca="1" si="43"/>
        <v/>
      </c>
      <c r="BU234" s="4">
        <v>116</v>
      </c>
      <c r="BV234" s="4">
        <f t="shared" si="38"/>
        <v>9.1999999999999993</v>
      </c>
    </row>
    <row r="235" spans="37:74" hidden="1" x14ac:dyDescent="0.25">
      <c r="AK235" s="24" t="str">
        <f>IF(AND($D$15&lt;&gt;"",MAX($AK$9:AK234)&lt;$D$15)=TRUE,AK234+0.5,"")</f>
        <v/>
      </c>
      <c r="AL235" s="25" t="str">
        <f t="shared" si="39"/>
        <v/>
      </c>
      <c r="AN235" s="25" t="e">
        <f t="shared" ca="1" si="40"/>
        <v>#VALUE!</v>
      </c>
      <c r="AO235" s="25" t="str">
        <f t="shared" ca="1" si="41"/>
        <v/>
      </c>
      <c r="AP235" s="25" t="str">
        <f t="shared" ca="1" si="42"/>
        <v/>
      </c>
      <c r="AU235" s="25" t="str">
        <f t="shared" ca="1" si="43"/>
        <v/>
      </c>
      <c r="BU235" s="4">
        <v>116.5</v>
      </c>
      <c r="BV235" s="4">
        <f t="shared" si="38"/>
        <v>9.1999999999999993</v>
      </c>
    </row>
    <row r="236" spans="37:74" hidden="1" x14ac:dyDescent="0.25">
      <c r="AK236" s="24" t="str">
        <f>IF(AND($D$15&lt;&gt;"",MAX($AK$9:AK235)&lt;$D$15)=TRUE,AK235+0.5,"")</f>
        <v/>
      </c>
      <c r="AL236" s="25" t="str">
        <f t="shared" si="39"/>
        <v/>
      </c>
      <c r="AN236" s="25" t="e">
        <f t="shared" ca="1" si="40"/>
        <v>#VALUE!</v>
      </c>
      <c r="AO236" s="25" t="str">
        <f t="shared" ca="1" si="41"/>
        <v/>
      </c>
      <c r="AP236" s="25" t="str">
        <f t="shared" ca="1" si="42"/>
        <v/>
      </c>
      <c r="AU236" s="25" t="str">
        <f t="shared" ca="1" si="43"/>
        <v/>
      </c>
      <c r="BU236" s="4">
        <v>117</v>
      </c>
      <c r="BV236" s="4">
        <f t="shared" si="38"/>
        <v>9.3000000000000007</v>
      </c>
    </row>
    <row r="237" spans="37:74" hidden="1" x14ac:dyDescent="0.25">
      <c r="AK237" s="24" t="str">
        <f>IF(AND($D$15&lt;&gt;"",MAX($AK$9:AK236)&lt;$D$15)=TRUE,AK236+0.5,"")</f>
        <v/>
      </c>
      <c r="AL237" s="25" t="str">
        <f t="shared" si="39"/>
        <v/>
      </c>
      <c r="AN237" s="25" t="e">
        <f t="shared" ca="1" si="40"/>
        <v>#VALUE!</v>
      </c>
      <c r="AO237" s="25" t="str">
        <f t="shared" ca="1" si="41"/>
        <v/>
      </c>
      <c r="AP237" s="25" t="str">
        <f t="shared" ca="1" si="42"/>
        <v/>
      </c>
      <c r="AU237" s="25" t="str">
        <f t="shared" ca="1" si="43"/>
        <v/>
      </c>
      <c r="BU237" s="4">
        <v>117.5</v>
      </c>
      <c r="BV237" s="4">
        <f t="shared" si="38"/>
        <v>9.3000000000000007</v>
      </c>
    </row>
    <row r="238" spans="37:74" hidden="1" x14ac:dyDescent="0.25">
      <c r="AK238" s="24" t="str">
        <f>IF(AND($D$15&lt;&gt;"",MAX($AK$9:AK237)&lt;$D$15)=TRUE,AK237+0.5,"")</f>
        <v/>
      </c>
      <c r="AL238" s="25" t="str">
        <f t="shared" si="39"/>
        <v/>
      </c>
      <c r="AN238" s="25" t="e">
        <f t="shared" ca="1" si="40"/>
        <v>#VALUE!</v>
      </c>
      <c r="AO238" s="25" t="str">
        <f t="shared" ca="1" si="41"/>
        <v/>
      </c>
      <c r="AP238" s="25" t="str">
        <f t="shared" ca="1" si="42"/>
        <v/>
      </c>
      <c r="AU238" s="25" t="str">
        <f t="shared" ca="1" si="43"/>
        <v/>
      </c>
      <c r="BU238" s="4">
        <v>118</v>
      </c>
      <c r="BV238" s="4">
        <f t="shared" si="38"/>
        <v>9.3000000000000007</v>
      </c>
    </row>
    <row r="239" spans="37:74" hidden="1" x14ac:dyDescent="0.25">
      <c r="AK239" s="24" t="str">
        <f>IF(AND($D$15&lt;&gt;"",MAX($AK$9:AK238)&lt;$D$15)=TRUE,AK238+0.5,"")</f>
        <v/>
      </c>
      <c r="AL239" s="25" t="str">
        <f t="shared" si="39"/>
        <v/>
      </c>
      <c r="AN239" s="25" t="e">
        <f t="shared" ca="1" si="40"/>
        <v>#VALUE!</v>
      </c>
      <c r="AO239" s="25" t="str">
        <f t="shared" ca="1" si="41"/>
        <v/>
      </c>
      <c r="AP239" s="25" t="str">
        <f t="shared" ca="1" si="42"/>
        <v/>
      </c>
      <c r="AU239" s="25" t="str">
        <f t="shared" ca="1" si="43"/>
        <v/>
      </c>
      <c r="BU239" s="4">
        <v>118.5</v>
      </c>
      <c r="BV239" s="4">
        <f t="shared" si="38"/>
        <v>9.4</v>
      </c>
    </row>
    <row r="240" spans="37:74" hidden="1" x14ac:dyDescent="0.25">
      <c r="AK240" s="24" t="str">
        <f>IF(AND($D$15&lt;&gt;"",MAX($AK$9:AK239)&lt;$D$15)=TRUE,AK239+0.5,"")</f>
        <v/>
      </c>
      <c r="AL240" s="25" t="str">
        <f t="shared" si="39"/>
        <v/>
      </c>
      <c r="AN240" s="25" t="e">
        <f t="shared" ca="1" si="40"/>
        <v>#VALUE!</v>
      </c>
      <c r="AO240" s="25" t="str">
        <f t="shared" ca="1" si="41"/>
        <v/>
      </c>
      <c r="AP240" s="25" t="str">
        <f t="shared" ca="1" si="42"/>
        <v/>
      </c>
      <c r="AU240" s="25" t="str">
        <f t="shared" ca="1" si="43"/>
        <v/>
      </c>
      <c r="BU240" s="4">
        <v>119</v>
      </c>
      <c r="BV240" s="4">
        <f t="shared" si="38"/>
        <v>9.4</v>
      </c>
    </row>
    <row r="241" spans="37:74" hidden="1" x14ac:dyDescent="0.25">
      <c r="AK241" s="24" t="str">
        <f>IF(AND($D$15&lt;&gt;"",MAX($AK$9:AK240)&lt;$D$15)=TRUE,AK240+0.5,"")</f>
        <v/>
      </c>
      <c r="AL241" s="25" t="str">
        <f t="shared" si="39"/>
        <v/>
      </c>
      <c r="AN241" s="25" t="e">
        <f t="shared" ca="1" si="40"/>
        <v>#VALUE!</v>
      </c>
      <c r="AO241" s="25" t="str">
        <f t="shared" ca="1" si="41"/>
        <v/>
      </c>
      <c r="AP241" s="25" t="str">
        <f t="shared" ca="1" si="42"/>
        <v/>
      </c>
      <c r="AU241" s="25" t="str">
        <f t="shared" ca="1" si="43"/>
        <v/>
      </c>
      <c r="BU241" s="4">
        <v>119.5</v>
      </c>
      <c r="BV241" s="4">
        <f t="shared" si="38"/>
        <v>9.5</v>
      </c>
    </row>
    <row r="242" spans="37:74" hidden="1" x14ac:dyDescent="0.25">
      <c r="AK242" s="24" t="str">
        <f>IF(AND($D$15&lt;&gt;"",MAX($AK$9:AK241)&lt;$D$15)=TRUE,AK241+0.5,"")</f>
        <v/>
      </c>
      <c r="AL242" s="25" t="str">
        <f t="shared" si="39"/>
        <v/>
      </c>
      <c r="AN242" s="25" t="e">
        <f t="shared" ca="1" si="40"/>
        <v>#VALUE!</v>
      </c>
      <c r="AO242" s="25" t="str">
        <f t="shared" ca="1" si="41"/>
        <v/>
      </c>
      <c r="AP242" s="25" t="str">
        <f t="shared" ca="1" si="42"/>
        <v/>
      </c>
      <c r="AU242" s="25" t="str">
        <f t="shared" ca="1" si="43"/>
        <v/>
      </c>
      <c r="BU242" s="4">
        <v>120</v>
      </c>
      <c r="BV242" s="4">
        <f t="shared" si="38"/>
        <v>9.5</v>
      </c>
    </row>
    <row r="243" spans="37:74" hidden="1" x14ac:dyDescent="0.25">
      <c r="AK243" s="24" t="str">
        <f>IF(AND($D$15&lt;&gt;"",MAX($AK$9:AK242)&lt;$D$15)=TRUE,AK242+0.5,"")</f>
        <v/>
      </c>
      <c r="AL243" s="25" t="str">
        <f t="shared" si="39"/>
        <v/>
      </c>
      <c r="AN243" s="25" t="e">
        <f t="shared" ca="1" si="40"/>
        <v>#VALUE!</v>
      </c>
      <c r="AO243" s="25" t="str">
        <f t="shared" ca="1" si="41"/>
        <v/>
      </c>
      <c r="AP243" s="25" t="str">
        <f t="shared" ca="1" si="42"/>
        <v/>
      </c>
      <c r="AU243" s="25" t="str">
        <f t="shared" ca="1" si="43"/>
        <v/>
      </c>
      <c r="BU243" s="4">
        <v>120.5</v>
      </c>
      <c r="BV243" s="4">
        <f t="shared" si="38"/>
        <v>9.5</v>
      </c>
    </row>
    <row r="244" spans="37:74" hidden="1" x14ac:dyDescent="0.25">
      <c r="AK244" s="24" t="str">
        <f>IF(AND($D$15&lt;&gt;"",MAX($AK$9:AK243)&lt;$D$15)=TRUE,AK243+0.5,"")</f>
        <v/>
      </c>
      <c r="AL244" s="25" t="str">
        <f t="shared" si="39"/>
        <v/>
      </c>
      <c r="AN244" s="25" t="e">
        <f t="shared" ca="1" si="40"/>
        <v>#VALUE!</v>
      </c>
      <c r="AO244" s="25" t="str">
        <f t="shared" ca="1" si="41"/>
        <v/>
      </c>
      <c r="AP244" s="25" t="str">
        <f t="shared" ca="1" si="42"/>
        <v/>
      </c>
      <c r="AU244" s="25" t="str">
        <f t="shared" ca="1" si="43"/>
        <v/>
      </c>
      <c r="BU244" s="4">
        <v>121</v>
      </c>
      <c r="BV244" s="4">
        <f t="shared" si="38"/>
        <v>9.6</v>
      </c>
    </row>
    <row r="245" spans="37:74" hidden="1" x14ac:dyDescent="0.25">
      <c r="AK245" s="24" t="str">
        <f>IF(AND($D$15&lt;&gt;"",MAX($AK$9:AK244)&lt;$D$15)=TRUE,AK244+0.5,"")</f>
        <v/>
      </c>
      <c r="AL245" s="25" t="str">
        <f t="shared" si="39"/>
        <v/>
      </c>
      <c r="AN245" s="25" t="e">
        <f t="shared" ca="1" si="40"/>
        <v>#VALUE!</v>
      </c>
      <c r="AO245" s="25" t="str">
        <f t="shared" ca="1" si="41"/>
        <v/>
      </c>
      <c r="AP245" s="25" t="str">
        <f t="shared" ca="1" si="42"/>
        <v/>
      </c>
      <c r="AU245" s="25" t="str">
        <f t="shared" ca="1" si="43"/>
        <v/>
      </c>
      <c r="BU245" s="4">
        <v>121.5</v>
      </c>
      <c r="BV245" s="4">
        <f t="shared" si="38"/>
        <v>9.6</v>
      </c>
    </row>
    <row r="246" spans="37:74" hidden="1" x14ac:dyDescent="0.25">
      <c r="AK246" s="24" t="str">
        <f>IF(AND($D$15&lt;&gt;"",MAX($AK$9:AK245)&lt;$D$15)=TRUE,AK245+0.5,"")</f>
        <v/>
      </c>
      <c r="AL246" s="25" t="str">
        <f t="shared" si="39"/>
        <v/>
      </c>
      <c r="AN246" s="25" t="e">
        <f t="shared" ca="1" si="40"/>
        <v>#VALUE!</v>
      </c>
      <c r="AO246" s="25" t="str">
        <f t="shared" ca="1" si="41"/>
        <v/>
      </c>
      <c r="AP246" s="25" t="str">
        <f t="shared" ca="1" si="42"/>
        <v/>
      </c>
      <c r="AU246" s="25" t="str">
        <f t="shared" ca="1" si="43"/>
        <v/>
      </c>
      <c r="BU246" s="4">
        <v>122</v>
      </c>
      <c r="BV246" s="4">
        <f t="shared" si="38"/>
        <v>9.6999999999999993</v>
      </c>
    </row>
    <row r="247" spans="37:74" hidden="1" x14ac:dyDescent="0.25">
      <c r="AK247" s="24" t="str">
        <f>IF(AND($D$15&lt;&gt;"",MAX($AK$9:AK246)&lt;$D$15)=TRUE,AK246+0.5,"")</f>
        <v/>
      </c>
      <c r="AL247" s="25" t="str">
        <f t="shared" si="39"/>
        <v/>
      </c>
      <c r="AN247" s="25" t="e">
        <f t="shared" ca="1" si="40"/>
        <v>#VALUE!</v>
      </c>
      <c r="AO247" s="25" t="str">
        <f t="shared" ca="1" si="41"/>
        <v/>
      </c>
      <c r="AP247" s="25" t="str">
        <f t="shared" ca="1" si="42"/>
        <v/>
      </c>
      <c r="AU247" s="25" t="str">
        <f t="shared" ca="1" si="43"/>
        <v/>
      </c>
      <c r="BU247" s="4">
        <v>122.5</v>
      </c>
      <c r="BV247" s="4">
        <f t="shared" si="38"/>
        <v>9.6999999999999993</v>
      </c>
    </row>
    <row r="248" spans="37:74" hidden="1" x14ac:dyDescent="0.25">
      <c r="AK248" s="24" t="str">
        <f>IF(AND($D$15&lt;&gt;"",MAX($AK$9:AK247)&lt;$D$15)=TRUE,AK247+0.5,"")</f>
        <v/>
      </c>
      <c r="AL248" s="25" t="str">
        <f t="shared" si="39"/>
        <v/>
      </c>
      <c r="AN248" s="25" t="e">
        <f t="shared" ca="1" si="40"/>
        <v>#VALUE!</v>
      </c>
      <c r="AO248" s="25" t="str">
        <f t="shared" ca="1" si="41"/>
        <v/>
      </c>
      <c r="AP248" s="25" t="str">
        <f t="shared" ca="1" si="42"/>
        <v/>
      </c>
      <c r="AU248" s="25" t="str">
        <f t="shared" ca="1" si="43"/>
        <v/>
      </c>
      <c r="BU248" s="4">
        <v>123</v>
      </c>
      <c r="BV248" s="4">
        <f t="shared" si="38"/>
        <v>9.8000000000000007</v>
      </c>
    </row>
    <row r="249" spans="37:74" hidden="1" x14ac:dyDescent="0.25">
      <c r="AK249" s="24" t="str">
        <f>IF(AND($D$15&lt;&gt;"",MAX($AK$9:AK248)&lt;$D$15)=TRUE,AK248+0.5,"")</f>
        <v/>
      </c>
      <c r="AL249" s="25" t="str">
        <f t="shared" si="39"/>
        <v/>
      </c>
      <c r="AN249" s="25" t="e">
        <f t="shared" ca="1" si="40"/>
        <v>#VALUE!</v>
      </c>
      <c r="AO249" s="25" t="str">
        <f t="shared" ca="1" si="41"/>
        <v/>
      </c>
      <c r="AP249" s="25" t="str">
        <f t="shared" ca="1" si="42"/>
        <v/>
      </c>
      <c r="AU249" s="25" t="str">
        <f t="shared" ca="1" si="43"/>
        <v/>
      </c>
      <c r="BU249" s="4">
        <v>123.5</v>
      </c>
      <c r="BV249" s="4">
        <f t="shared" si="38"/>
        <v>9.8000000000000007</v>
      </c>
    </row>
    <row r="250" spans="37:74" hidden="1" x14ac:dyDescent="0.25">
      <c r="AK250" s="24" t="str">
        <f>IF(AND($D$15&lt;&gt;"",MAX($AK$9:AK249)&lt;$D$15)=TRUE,AK249+0.5,"")</f>
        <v/>
      </c>
      <c r="AL250" s="25" t="str">
        <f t="shared" si="39"/>
        <v/>
      </c>
      <c r="AN250" s="25" t="e">
        <f t="shared" ca="1" si="40"/>
        <v>#VALUE!</v>
      </c>
      <c r="AO250" s="25" t="str">
        <f t="shared" ca="1" si="41"/>
        <v/>
      </c>
      <c r="AP250" s="25" t="str">
        <f t="shared" ca="1" si="42"/>
        <v/>
      </c>
      <c r="AU250" s="25" t="str">
        <f t="shared" ca="1" si="43"/>
        <v/>
      </c>
      <c r="BU250" s="4">
        <v>124</v>
      </c>
      <c r="BV250" s="4">
        <f t="shared" si="38"/>
        <v>9.8000000000000007</v>
      </c>
    </row>
    <row r="251" spans="37:74" hidden="1" x14ac:dyDescent="0.25">
      <c r="AK251" s="24" t="str">
        <f>IF(AND($D$15&lt;&gt;"",MAX($AK$9:AK250)&lt;$D$15)=TRUE,AK250+0.5,"")</f>
        <v/>
      </c>
      <c r="AL251" s="25" t="str">
        <f t="shared" si="39"/>
        <v/>
      </c>
      <c r="AN251" s="25" t="e">
        <f t="shared" ca="1" si="40"/>
        <v>#VALUE!</v>
      </c>
      <c r="AO251" s="25" t="str">
        <f t="shared" ca="1" si="41"/>
        <v/>
      </c>
      <c r="AP251" s="25" t="str">
        <f t="shared" ca="1" si="42"/>
        <v/>
      </c>
      <c r="AU251" s="25" t="str">
        <f t="shared" ca="1" si="43"/>
        <v/>
      </c>
      <c r="BU251" s="4">
        <v>124.5</v>
      </c>
      <c r="BV251" s="4">
        <f t="shared" si="38"/>
        <v>9.9</v>
      </c>
    </row>
    <row r="252" spans="37:74" hidden="1" x14ac:dyDescent="0.25">
      <c r="AK252" s="24" t="str">
        <f>IF(AND($D$15&lt;&gt;"",MAX($AK$9:AK251)&lt;$D$15)=TRUE,AK251+0.5,"")</f>
        <v/>
      </c>
      <c r="AL252" s="25" t="str">
        <f t="shared" si="39"/>
        <v/>
      </c>
      <c r="AN252" s="25" t="e">
        <f t="shared" ca="1" si="40"/>
        <v>#VALUE!</v>
      </c>
      <c r="AO252" s="25" t="str">
        <f t="shared" ca="1" si="41"/>
        <v/>
      </c>
      <c r="AP252" s="25" t="str">
        <f t="shared" ca="1" si="42"/>
        <v/>
      </c>
      <c r="AU252" s="25" t="str">
        <f t="shared" ca="1" si="43"/>
        <v/>
      </c>
      <c r="BU252" s="4">
        <v>125</v>
      </c>
      <c r="BV252" s="4">
        <f t="shared" si="38"/>
        <v>9.9</v>
      </c>
    </row>
    <row r="253" spans="37:74" hidden="1" x14ac:dyDescent="0.25">
      <c r="AK253" s="24" t="str">
        <f>IF(AND($D$15&lt;&gt;"",MAX($AK$9:AK252)&lt;$D$15)=TRUE,AK252+0.5,"")</f>
        <v/>
      </c>
      <c r="AL253" s="25" t="str">
        <f t="shared" si="39"/>
        <v/>
      </c>
      <c r="AN253" s="25" t="e">
        <f t="shared" ca="1" si="40"/>
        <v>#VALUE!</v>
      </c>
      <c r="AO253" s="25" t="str">
        <f t="shared" ca="1" si="41"/>
        <v/>
      </c>
      <c r="AP253" s="25" t="str">
        <f t="shared" ca="1" si="42"/>
        <v/>
      </c>
      <c r="AU253" s="25" t="str">
        <f t="shared" ca="1" si="43"/>
        <v/>
      </c>
      <c r="BU253" s="4">
        <v>125.5</v>
      </c>
      <c r="BV253" s="4">
        <f t="shared" si="38"/>
        <v>10</v>
      </c>
    </row>
    <row r="254" spans="37:74" hidden="1" x14ac:dyDescent="0.25">
      <c r="AK254" s="24" t="str">
        <f>IF(AND($D$15&lt;&gt;"",MAX($AK$9:AK253)&lt;$D$15)=TRUE,AK253+0.5,"")</f>
        <v/>
      </c>
      <c r="AL254" s="25" t="str">
        <f t="shared" si="39"/>
        <v/>
      </c>
      <c r="AN254" s="25" t="e">
        <f t="shared" ca="1" si="40"/>
        <v>#VALUE!</v>
      </c>
      <c r="AO254" s="25" t="str">
        <f t="shared" ca="1" si="41"/>
        <v/>
      </c>
      <c r="AP254" s="25" t="str">
        <f t="shared" ca="1" si="42"/>
        <v/>
      </c>
      <c r="AU254" s="25" t="str">
        <f t="shared" ca="1" si="43"/>
        <v/>
      </c>
      <c r="BU254" s="4">
        <v>126</v>
      </c>
      <c r="BV254" s="4">
        <f t="shared" si="38"/>
        <v>10</v>
      </c>
    </row>
    <row r="255" spans="37:74" hidden="1" x14ac:dyDescent="0.25">
      <c r="AK255" s="24" t="str">
        <f>IF(AND($D$15&lt;&gt;"",MAX($AK$9:AK254)&lt;$D$15)=TRUE,AK254+0.5,"")</f>
        <v/>
      </c>
      <c r="AL255" s="25" t="str">
        <f t="shared" si="39"/>
        <v/>
      </c>
      <c r="AN255" s="25" t="e">
        <f t="shared" ca="1" si="40"/>
        <v>#VALUE!</v>
      </c>
      <c r="AO255" s="25" t="str">
        <f t="shared" ca="1" si="41"/>
        <v/>
      </c>
      <c r="AP255" s="25" t="str">
        <f t="shared" ca="1" si="42"/>
        <v/>
      </c>
      <c r="AU255" s="25" t="str">
        <f t="shared" ca="1" si="43"/>
        <v/>
      </c>
      <c r="BU255" s="4">
        <v>126.5</v>
      </c>
      <c r="BV255" s="4">
        <f t="shared" si="38"/>
        <v>10</v>
      </c>
    </row>
    <row r="256" spans="37:74" hidden="1" x14ac:dyDescent="0.25">
      <c r="AK256" s="24" t="str">
        <f>IF(AND($D$15&lt;&gt;"",MAX($AK$9:AK255)&lt;$D$15)=TRUE,AK255+0.5,"")</f>
        <v/>
      </c>
      <c r="AL256" s="25" t="str">
        <f t="shared" si="39"/>
        <v/>
      </c>
      <c r="AN256" s="25" t="e">
        <f t="shared" ca="1" si="40"/>
        <v>#VALUE!</v>
      </c>
      <c r="AO256" s="25" t="str">
        <f t="shared" ca="1" si="41"/>
        <v/>
      </c>
      <c r="AP256" s="25" t="str">
        <f t="shared" ca="1" si="42"/>
        <v/>
      </c>
      <c r="AU256" s="25" t="str">
        <f t="shared" ca="1" si="43"/>
        <v/>
      </c>
      <c r="BU256" s="4">
        <v>127</v>
      </c>
      <c r="BV256" s="4">
        <f t="shared" si="38"/>
        <v>10.1</v>
      </c>
    </row>
    <row r="257" spans="37:74" hidden="1" x14ac:dyDescent="0.25">
      <c r="AK257" s="24" t="str">
        <f>IF(AND($D$15&lt;&gt;"",MAX($AK$9:AK256)&lt;$D$15)=TRUE,AK256+0.5,"")</f>
        <v/>
      </c>
      <c r="AL257" s="25" t="str">
        <f t="shared" si="39"/>
        <v/>
      </c>
      <c r="AN257" s="25" t="e">
        <f t="shared" ca="1" si="40"/>
        <v>#VALUE!</v>
      </c>
      <c r="AO257" s="25" t="str">
        <f t="shared" ca="1" si="41"/>
        <v/>
      </c>
      <c r="AP257" s="25" t="str">
        <f t="shared" ca="1" si="42"/>
        <v/>
      </c>
      <c r="AU257" s="25" t="str">
        <f t="shared" ca="1" si="43"/>
        <v/>
      </c>
      <c r="BU257" s="4">
        <v>127.5</v>
      </c>
      <c r="BV257" s="4">
        <f t="shared" si="38"/>
        <v>10.1</v>
      </c>
    </row>
    <row r="258" spans="37:74" hidden="1" x14ac:dyDescent="0.25">
      <c r="AK258" s="24" t="str">
        <f>IF(AND($D$15&lt;&gt;"",MAX($AK$9:AK257)&lt;$D$15)=TRUE,AK257+0.5,"")</f>
        <v/>
      </c>
      <c r="AL258" s="25" t="str">
        <f t="shared" si="39"/>
        <v/>
      </c>
      <c r="AN258" s="25" t="e">
        <f t="shared" ca="1" si="40"/>
        <v>#VALUE!</v>
      </c>
      <c r="AO258" s="25" t="str">
        <f t="shared" ca="1" si="41"/>
        <v/>
      </c>
      <c r="AP258" s="25" t="str">
        <f t="shared" ca="1" si="42"/>
        <v/>
      </c>
      <c r="AU258" s="25" t="str">
        <f t="shared" ca="1" si="43"/>
        <v/>
      </c>
      <c r="BU258" s="4">
        <v>128</v>
      </c>
      <c r="BV258" s="4">
        <f t="shared" si="38"/>
        <v>10.199999999999999</v>
      </c>
    </row>
    <row r="259" spans="37:74" hidden="1" x14ac:dyDescent="0.25">
      <c r="AK259" s="24" t="str">
        <f>IF(AND($D$15&lt;&gt;"",MAX($AK$9:AK258)&lt;$D$15)=TRUE,AK258+0.5,"")</f>
        <v/>
      </c>
      <c r="AL259" s="25" t="str">
        <f t="shared" si="39"/>
        <v/>
      </c>
      <c r="AN259" s="25" t="e">
        <f t="shared" ca="1" si="40"/>
        <v>#VALUE!</v>
      </c>
      <c r="AO259" s="25" t="str">
        <f t="shared" ca="1" si="41"/>
        <v/>
      </c>
      <c r="AP259" s="25" t="str">
        <f t="shared" ca="1" si="42"/>
        <v/>
      </c>
      <c r="AU259" s="25" t="str">
        <f t="shared" ca="1" si="43"/>
        <v/>
      </c>
      <c r="BU259" s="4">
        <v>128.5</v>
      </c>
      <c r="BV259" s="4">
        <f t="shared" ref="BV259:BV322" si="44">IFERROR(IF(AND($BS$2&gt;=5,$BS$2&lt;=29),HLOOKUP($BS$2,$BX$1:$CV$60,$BT259,FALSE),IF(BU259&gt;=0.6*$BS$2*2,ROUND(((7-4)/($BS$2*2-0.6*$BS$2*2))*(BU259-0.6*$BS$2*2)+4,1),ROUND(((4-1)/(0.6*$BS$2*2))*BU259+1,1))),"")</f>
        <v>10.199999999999999</v>
      </c>
    </row>
    <row r="260" spans="37:74" hidden="1" x14ac:dyDescent="0.25">
      <c r="AK260" s="24" t="str">
        <f>IF(AND($D$15&lt;&gt;"",MAX($AK$9:AK259)&lt;$D$15)=TRUE,AK259+0.5,"")</f>
        <v/>
      </c>
      <c r="AL260" s="25" t="str">
        <f t="shared" si="39"/>
        <v/>
      </c>
      <c r="AN260" s="25" t="e">
        <f t="shared" ca="1" si="40"/>
        <v>#VALUE!</v>
      </c>
      <c r="AO260" s="25" t="str">
        <f t="shared" ca="1" si="41"/>
        <v/>
      </c>
      <c r="AP260" s="25" t="str">
        <f t="shared" ca="1" si="42"/>
        <v/>
      </c>
      <c r="AU260" s="25" t="str">
        <f t="shared" ca="1" si="43"/>
        <v/>
      </c>
      <c r="BU260" s="4">
        <v>129</v>
      </c>
      <c r="BV260" s="4">
        <f t="shared" si="44"/>
        <v>10.3</v>
      </c>
    </row>
    <row r="261" spans="37:74" hidden="1" x14ac:dyDescent="0.25">
      <c r="AK261" s="24" t="str">
        <f>IF(AND($D$15&lt;&gt;"",MAX($AK$9:AK260)&lt;$D$15)=TRUE,AK260+0.5,"")</f>
        <v/>
      </c>
      <c r="AL261" s="25" t="str">
        <f t="shared" si="39"/>
        <v/>
      </c>
      <c r="AN261" s="25" t="e">
        <f t="shared" ca="1" si="40"/>
        <v>#VALUE!</v>
      </c>
      <c r="AO261" s="25" t="str">
        <f t="shared" ca="1" si="41"/>
        <v/>
      </c>
      <c r="AP261" s="25" t="str">
        <f t="shared" ca="1" si="42"/>
        <v/>
      </c>
      <c r="AU261" s="25" t="str">
        <f t="shared" ca="1" si="43"/>
        <v/>
      </c>
      <c r="BU261" s="4">
        <v>129.5</v>
      </c>
      <c r="BV261" s="4">
        <f t="shared" si="44"/>
        <v>10.3</v>
      </c>
    </row>
    <row r="262" spans="37:74" hidden="1" x14ac:dyDescent="0.25">
      <c r="AK262" s="24" t="str">
        <f>IF(AND($D$15&lt;&gt;"",MAX($AK$9:AK261)&lt;$D$15)=TRUE,AK261+0.5,"")</f>
        <v/>
      </c>
      <c r="AL262" s="25" t="str">
        <f t="shared" si="39"/>
        <v/>
      </c>
      <c r="AN262" s="25" t="e">
        <f t="shared" ca="1" si="40"/>
        <v>#VALUE!</v>
      </c>
      <c r="AO262" s="25" t="str">
        <f t="shared" ca="1" si="41"/>
        <v/>
      </c>
      <c r="AP262" s="25" t="str">
        <f t="shared" ca="1" si="42"/>
        <v/>
      </c>
      <c r="AU262" s="25" t="str">
        <f t="shared" ca="1" si="43"/>
        <v/>
      </c>
      <c r="BU262" s="4">
        <v>130</v>
      </c>
      <c r="BV262" s="4">
        <f t="shared" si="44"/>
        <v>10.3</v>
      </c>
    </row>
    <row r="263" spans="37:74" hidden="1" x14ac:dyDescent="0.25">
      <c r="AK263" s="24" t="str">
        <f>IF(AND($D$15&lt;&gt;"",MAX($AK$9:AK262)&lt;$D$15)=TRUE,AK262+0.5,"")</f>
        <v/>
      </c>
      <c r="AL263" s="25" t="str">
        <f t="shared" si="39"/>
        <v/>
      </c>
      <c r="AN263" s="25" t="e">
        <f t="shared" ca="1" si="40"/>
        <v>#VALUE!</v>
      </c>
      <c r="AO263" s="25" t="str">
        <f t="shared" ca="1" si="41"/>
        <v/>
      </c>
      <c r="AP263" s="25" t="str">
        <f t="shared" ca="1" si="42"/>
        <v/>
      </c>
      <c r="AU263" s="25" t="str">
        <f t="shared" ca="1" si="43"/>
        <v/>
      </c>
      <c r="BU263" s="4">
        <v>130.5</v>
      </c>
      <c r="BV263" s="4">
        <f t="shared" si="44"/>
        <v>10.4</v>
      </c>
    </row>
    <row r="264" spans="37:74" hidden="1" x14ac:dyDescent="0.25">
      <c r="AK264" s="24" t="str">
        <f>IF(AND($D$15&lt;&gt;"",MAX($AK$9:AK263)&lt;$D$15)=TRUE,AK263+0.5,"")</f>
        <v/>
      </c>
      <c r="AL264" s="25" t="str">
        <f t="shared" si="39"/>
        <v/>
      </c>
      <c r="AN264" s="25" t="e">
        <f t="shared" ca="1" si="40"/>
        <v>#VALUE!</v>
      </c>
      <c r="AO264" s="25" t="str">
        <f t="shared" ca="1" si="41"/>
        <v/>
      </c>
      <c r="AP264" s="25" t="str">
        <f t="shared" ca="1" si="42"/>
        <v/>
      </c>
      <c r="AU264" s="25" t="str">
        <f t="shared" ca="1" si="43"/>
        <v/>
      </c>
      <c r="BU264" s="4">
        <v>131</v>
      </c>
      <c r="BV264" s="4">
        <f t="shared" si="44"/>
        <v>10.4</v>
      </c>
    </row>
    <row r="265" spans="37:74" hidden="1" x14ac:dyDescent="0.25">
      <c r="AK265" s="24" t="str">
        <f>IF(AND($D$15&lt;&gt;"",MAX($AK$9:AK264)&lt;$D$15)=TRUE,AK264+0.5,"")</f>
        <v/>
      </c>
      <c r="AL265" s="25" t="str">
        <f t="shared" ref="AL265:AL300" si="45">IF(AK265&lt;=$D$15,IF($D$17=$AZ$9,AO265,IF($D$17=$AZ$10,AN265,IF($D$17=$AZ$11,AU265,""))),"")</f>
        <v/>
      </c>
      <c r="AN265" s="25" t="e">
        <f t="shared" ca="1" si="40"/>
        <v>#VALUE!</v>
      </c>
      <c r="AO265" s="25" t="str">
        <f t="shared" ca="1" si="41"/>
        <v/>
      </c>
      <c r="AP265" s="25" t="str">
        <f t="shared" ca="1" si="42"/>
        <v/>
      </c>
      <c r="AU265" s="25" t="str">
        <f t="shared" ca="1" si="43"/>
        <v/>
      </c>
      <c r="BU265" s="4">
        <v>131.5</v>
      </c>
      <c r="BV265" s="4">
        <f t="shared" si="44"/>
        <v>10.5</v>
      </c>
    </row>
    <row r="266" spans="37:74" hidden="1" x14ac:dyDescent="0.25">
      <c r="AK266" s="24" t="str">
        <f>IF(AND($D$15&lt;&gt;"",MAX($AK$9:AK265)&lt;$D$15)=TRUE,AK265+0.5,"")</f>
        <v/>
      </c>
      <c r="AL266" s="25" t="str">
        <f t="shared" si="45"/>
        <v/>
      </c>
      <c r="AN266" s="25" t="e">
        <f t="shared" ref="AN266:AN329" ca="1" si="46">IF($AN$1=2024,ROUND(IF(AK266&lt;$D$15*$D$13,(4-$D$9)*(AK266/($D$15*$D$13))+$D$9,($D$11-4)*((AK266-$D$15*$D$13)/($D$15*(1-$D$13)))+4),1),"")</f>
        <v>#VALUE!</v>
      </c>
      <c r="AO266" s="25" t="str">
        <f t="shared" ref="AO266:AO329" ca="1" si="47">IF($AN$1=2024,IFERROR(IF(AK266&lt;=$D$15,ROUND(AK266/$D$15*($D$11-$D$9)+$D$9,1),""),""),"")</f>
        <v/>
      </c>
      <c r="AP266" s="25" t="str">
        <f t="shared" ref="AP266:AP329" ca="1" si="48">IF($AN$1=2024,IF(AO266&lt;&gt;"",ROUND((AO266-AVERAGE($AO$9:$AO$609))/STDEV($AO$9:$AO$609),1),""),"")</f>
        <v/>
      </c>
      <c r="AU266" s="25" t="str">
        <f t="shared" ref="AU266:AU329" ca="1" si="49">IF($AN$1=2024,IF(AP266&lt;&gt;"",IF(AP266=MIN($AP$9:$AP$609),1,IF(AP266=MAX($AP$9:$AP$609),7,ROUND(VLOOKUP(AP266,$AR$9:$AS$89,2,FALSE),1))),""),"")</f>
        <v/>
      </c>
      <c r="BU266" s="4">
        <v>132</v>
      </c>
      <c r="BV266" s="4">
        <f t="shared" si="44"/>
        <v>10.5</v>
      </c>
    </row>
    <row r="267" spans="37:74" hidden="1" x14ac:dyDescent="0.25">
      <c r="AK267" s="24" t="str">
        <f>IF(AND($D$15&lt;&gt;"",MAX($AK$9:AK266)&lt;$D$15)=TRUE,AK266+0.5,"")</f>
        <v/>
      </c>
      <c r="AL267" s="25" t="str">
        <f t="shared" si="45"/>
        <v/>
      </c>
      <c r="AN267" s="25" t="e">
        <f t="shared" ca="1" si="46"/>
        <v>#VALUE!</v>
      </c>
      <c r="AO267" s="25" t="str">
        <f t="shared" ca="1" si="47"/>
        <v/>
      </c>
      <c r="AP267" s="25" t="str">
        <f t="shared" ca="1" si="48"/>
        <v/>
      </c>
      <c r="AU267" s="25" t="str">
        <f t="shared" ca="1" si="49"/>
        <v/>
      </c>
      <c r="BU267" s="4">
        <v>132.5</v>
      </c>
      <c r="BV267" s="4">
        <f t="shared" si="44"/>
        <v>10.5</v>
      </c>
    </row>
    <row r="268" spans="37:74" hidden="1" x14ac:dyDescent="0.25">
      <c r="AK268" s="24" t="str">
        <f>IF(AND($D$15&lt;&gt;"",MAX($AK$9:AK267)&lt;$D$15)=TRUE,AK267+0.5,"")</f>
        <v/>
      </c>
      <c r="AL268" s="25" t="str">
        <f t="shared" si="45"/>
        <v/>
      </c>
      <c r="AN268" s="25" t="e">
        <f t="shared" ca="1" si="46"/>
        <v>#VALUE!</v>
      </c>
      <c r="AO268" s="25" t="str">
        <f t="shared" ca="1" si="47"/>
        <v/>
      </c>
      <c r="AP268" s="25" t="str">
        <f t="shared" ca="1" si="48"/>
        <v/>
      </c>
      <c r="AU268" s="25" t="str">
        <f t="shared" ca="1" si="49"/>
        <v/>
      </c>
      <c r="BU268" s="4">
        <v>133</v>
      </c>
      <c r="BV268" s="4">
        <f t="shared" si="44"/>
        <v>10.6</v>
      </c>
    </row>
    <row r="269" spans="37:74" hidden="1" x14ac:dyDescent="0.25">
      <c r="AK269" s="24" t="str">
        <f>IF(AND($D$15&lt;&gt;"",MAX($AK$9:AK268)&lt;$D$15)=TRUE,AK268+0.5,"")</f>
        <v/>
      </c>
      <c r="AL269" s="25" t="str">
        <f t="shared" si="45"/>
        <v/>
      </c>
      <c r="AN269" s="25" t="e">
        <f t="shared" ca="1" si="46"/>
        <v>#VALUE!</v>
      </c>
      <c r="AO269" s="25" t="str">
        <f t="shared" ca="1" si="47"/>
        <v/>
      </c>
      <c r="AP269" s="25" t="str">
        <f t="shared" ca="1" si="48"/>
        <v/>
      </c>
      <c r="AU269" s="25" t="str">
        <f t="shared" ca="1" si="49"/>
        <v/>
      </c>
      <c r="BU269" s="4">
        <v>133.5</v>
      </c>
      <c r="BV269" s="4">
        <f t="shared" si="44"/>
        <v>10.6</v>
      </c>
    </row>
    <row r="270" spans="37:74" hidden="1" x14ac:dyDescent="0.25">
      <c r="AK270" s="24" t="str">
        <f>IF(AND($D$15&lt;&gt;"",MAX($AK$9:AK269)&lt;$D$15)=TRUE,AK269+0.5,"")</f>
        <v/>
      </c>
      <c r="AL270" s="25" t="str">
        <f t="shared" si="45"/>
        <v/>
      </c>
      <c r="AN270" s="25" t="e">
        <f t="shared" ca="1" si="46"/>
        <v>#VALUE!</v>
      </c>
      <c r="AO270" s="25" t="str">
        <f t="shared" ca="1" si="47"/>
        <v/>
      </c>
      <c r="AP270" s="25" t="str">
        <f t="shared" ca="1" si="48"/>
        <v/>
      </c>
      <c r="AU270" s="25" t="str">
        <f t="shared" ca="1" si="49"/>
        <v/>
      </c>
      <c r="BU270" s="4">
        <v>134</v>
      </c>
      <c r="BV270" s="4">
        <f t="shared" si="44"/>
        <v>10.7</v>
      </c>
    </row>
    <row r="271" spans="37:74" hidden="1" x14ac:dyDescent="0.25">
      <c r="AK271" s="24" t="str">
        <f>IF(AND($D$15&lt;&gt;"",MAX($AK$9:AK270)&lt;$D$15)=TRUE,AK270+0.5,"")</f>
        <v/>
      </c>
      <c r="AL271" s="25" t="str">
        <f t="shared" si="45"/>
        <v/>
      </c>
      <c r="AN271" s="25" t="e">
        <f t="shared" ca="1" si="46"/>
        <v>#VALUE!</v>
      </c>
      <c r="AO271" s="25" t="str">
        <f t="shared" ca="1" si="47"/>
        <v/>
      </c>
      <c r="AP271" s="25" t="str">
        <f t="shared" ca="1" si="48"/>
        <v/>
      </c>
      <c r="AU271" s="25" t="str">
        <f t="shared" ca="1" si="49"/>
        <v/>
      </c>
      <c r="BU271" s="4">
        <v>134.5</v>
      </c>
      <c r="BV271" s="4">
        <f t="shared" si="44"/>
        <v>10.7</v>
      </c>
    </row>
    <row r="272" spans="37:74" hidden="1" x14ac:dyDescent="0.25">
      <c r="AK272" s="24" t="str">
        <f>IF(AND($D$15&lt;&gt;"",MAX($AK$9:AK271)&lt;$D$15)=TRUE,AK271+0.5,"")</f>
        <v/>
      </c>
      <c r="AL272" s="25" t="str">
        <f t="shared" si="45"/>
        <v/>
      </c>
      <c r="AN272" s="25" t="e">
        <f t="shared" ca="1" si="46"/>
        <v>#VALUE!</v>
      </c>
      <c r="AO272" s="25" t="str">
        <f t="shared" ca="1" si="47"/>
        <v/>
      </c>
      <c r="AP272" s="25" t="str">
        <f t="shared" ca="1" si="48"/>
        <v/>
      </c>
      <c r="AU272" s="25" t="str">
        <f t="shared" ca="1" si="49"/>
        <v/>
      </c>
      <c r="BU272" s="4">
        <v>135</v>
      </c>
      <c r="BV272" s="4">
        <f t="shared" si="44"/>
        <v>10.8</v>
      </c>
    </row>
    <row r="273" spans="37:74" hidden="1" x14ac:dyDescent="0.25">
      <c r="AK273" s="24" t="str">
        <f>IF(AND($D$15&lt;&gt;"",MAX($AK$9:AK272)&lt;$D$15)=TRUE,AK272+0.5,"")</f>
        <v/>
      </c>
      <c r="AL273" s="25" t="str">
        <f t="shared" si="45"/>
        <v/>
      </c>
      <c r="AN273" s="25" t="e">
        <f t="shared" ca="1" si="46"/>
        <v>#VALUE!</v>
      </c>
      <c r="AO273" s="25" t="str">
        <f t="shared" ca="1" si="47"/>
        <v/>
      </c>
      <c r="AP273" s="25" t="str">
        <f t="shared" ca="1" si="48"/>
        <v/>
      </c>
      <c r="AU273" s="25" t="str">
        <f t="shared" ca="1" si="49"/>
        <v/>
      </c>
      <c r="BU273" s="4">
        <v>135.5</v>
      </c>
      <c r="BV273" s="4">
        <f t="shared" si="44"/>
        <v>10.8</v>
      </c>
    </row>
    <row r="274" spans="37:74" hidden="1" x14ac:dyDescent="0.25">
      <c r="AK274" s="24" t="str">
        <f>IF(AND($D$15&lt;&gt;"",MAX($AK$9:AK273)&lt;$D$15)=TRUE,AK273+0.5,"")</f>
        <v/>
      </c>
      <c r="AL274" s="25" t="str">
        <f t="shared" si="45"/>
        <v/>
      </c>
      <c r="AN274" s="25" t="e">
        <f t="shared" ca="1" si="46"/>
        <v>#VALUE!</v>
      </c>
      <c r="AO274" s="25" t="str">
        <f t="shared" ca="1" si="47"/>
        <v/>
      </c>
      <c r="AP274" s="25" t="str">
        <f t="shared" ca="1" si="48"/>
        <v/>
      </c>
      <c r="AU274" s="25" t="str">
        <f t="shared" ca="1" si="49"/>
        <v/>
      </c>
      <c r="BU274" s="4">
        <v>136</v>
      </c>
      <c r="BV274" s="4">
        <f t="shared" si="44"/>
        <v>10.8</v>
      </c>
    </row>
    <row r="275" spans="37:74" hidden="1" x14ac:dyDescent="0.25">
      <c r="AK275" s="24" t="str">
        <f>IF(AND($D$15&lt;&gt;"",MAX($AK$9:AK274)&lt;$D$15)=TRUE,AK274+0.5,"")</f>
        <v/>
      </c>
      <c r="AL275" s="25" t="str">
        <f t="shared" si="45"/>
        <v/>
      </c>
      <c r="AN275" s="25" t="e">
        <f t="shared" ca="1" si="46"/>
        <v>#VALUE!</v>
      </c>
      <c r="AO275" s="25" t="str">
        <f t="shared" ca="1" si="47"/>
        <v/>
      </c>
      <c r="AP275" s="25" t="str">
        <f t="shared" ca="1" si="48"/>
        <v/>
      </c>
      <c r="AU275" s="25" t="str">
        <f t="shared" ca="1" si="49"/>
        <v/>
      </c>
      <c r="BU275" s="4">
        <v>136.5</v>
      </c>
      <c r="BV275" s="4">
        <f t="shared" si="44"/>
        <v>10.9</v>
      </c>
    </row>
    <row r="276" spans="37:74" hidden="1" x14ac:dyDescent="0.25">
      <c r="AK276" s="24" t="str">
        <f>IF(AND($D$15&lt;&gt;"",MAX($AK$9:AK275)&lt;$D$15)=TRUE,AK275+0.5,"")</f>
        <v/>
      </c>
      <c r="AL276" s="25" t="str">
        <f t="shared" si="45"/>
        <v/>
      </c>
      <c r="AN276" s="25" t="e">
        <f t="shared" ca="1" si="46"/>
        <v>#VALUE!</v>
      </c>
      <c r="AO276" s="25" t="str">
        <f t="shared" ca="1" si="47"/>
        <v/>
      </c>
      <c r="AP276" s="25" t="str">
        <f t="shared" ca="1" si="48"/>
        <v/>
      </c>
      <c r="AU276" s="25" t="str">
        <f t="shared" ca="1" si="49"/>
        <v/>
      </c>
      <c r="BU276" s="4">
        <v>137</v>
      </c>
      <c r="BV276" s="4">
        <f t="shared" si="44"/>
        <v>10.9</v>
      </c>
    </row>
    <row r="277" spans="37:74" hidden="1" x14ac:dyDescent="0.25">
      <c r="AK277" s="24" t="str">
        <f>IF(AND($D$15&lt;&gt;"",MAX($AK$9:AK276)&lt;$D$15)=TRUE,AK276+0.5,"")</f>
        <v/>
      </c>
      <c r="AL277" s="25" t="str">
        <f t="shared" si="45"/>
        <v/>
      </c>
      <c r="AN277" s="25" t="e">
        <f t="shared" ca="1" si="46"/>
        <v>#VALUE!</v>
      </c>
      <c r="AO277" s="25" t="str">
        <f t="shared" ca="1" si="47"/>
        <v/>
      </c>
      <c r="AP277" s="25" t="str">
        <f t="shared" ca="1" si="48"/>
        <v/>
      </c>
      <c r="AU277" s="25" t="str">
        <f t="shared" ca="1" si="49"/>
        <v/>
      </c>
      <c r="BU277" s="4">
        <v>137.5</v>
      </c>
      <c r="BV277" s="4">
        <f t="shared" si="44"/>
        <v>11</v>
      </c>
    </row>
    <row r="278" spans="37:74" hidden="1" x14ac:dyDescent="0.25">
      <c r="AK278" s="24" t="str">
        <f>IF(AND($D$15&lt;&gt;"",MAX($AK$9:AK277)&lt;$D$15)=TRUE,AK277+0.5,"")</f>
        <v/>
      </c>
      <c r="AL278" s="25" t="str">
        <f t="shared" si="45"/>
        <v/>
      </c>
      <c r="AN278" s="25" t="e">
        <f t="shared" ca="1" si="46"/>
        <v>#VALUE!</v>
      </c>
      <c r="AO278" s="25" t="str">
        <f t="shared" ca="1" si="47"/>
        <v/>
      </c>
      <c r="AP278" s="25" t="str">
        <f t="shared" ca="1" si="48"/>
        <v/>
      </c>
      <c r="AU278" s="25" t="str">
        <f t="shared" ca="1" si="49"/>
        <v/>
      </c>
      <c r="BU278" s="4">
        <v>138</v>
      </c>
      <c r="BV278" s="4">
        <f t="shared" si="44"/>
        <v>11</v>
      </c>
    </row>
    <row r="279" spans="37:74" hidden="1" x14ac:dyDescent="0.25">
      <c r="AK279" s="24" t="str">
        <f>IF(AND($D$15&lt;&gt;"",MAX($AK$9:AK278)&lt;$D$15)=TRUE,AK278+0.5,"")</f>
        <v/>
      </c>
      <c r="AL279" s="25" t="str">
        <f t="shared" si="45"/>
        <v/>
      </c>
      <c r="AN279" s="25" t="e">
        <f t="shared" ca="1" si="46"/>
        <v>#VALUE!</v>
      </c>
      <c r="AO279" s="25" t="str">
        <f t="shared" ca="1" si="47"/>
        <v/>
      </c>
      <c r="AP279" s="25" t="str">
        <f t="shared" ca="1" si="48"/>
        <v/>
      </c>
      <c r="AU279" s="25" t="str">
        <f t="shared" ca="1" si="49"/>
        <v/>
      </c>
      <c r="BU279" s="4">
        <v>138.5</v>
      </c>
      <c r="BV279" s="4">
        <f t="shared" si="44"/>
        <v>11</v>
      </c>
    </row>
    <row r="280" spans="37:74" hidden="1" x14ac:dyDescent="0.25">
      <c r="AK280" s="24" t="str">
        <f>IF(AND($D$15&lt;&gt;"",MAX($AK$9:AK279)&lt;$D$15)=TRUE,AK279+0.5,"")</f>
        <v/>
      </c>
      <c r="AL280" s="25" t="str">
        <f t="shared" si="45"/>
        <v/>
      </c>
      <c r="AN280" s="25" t="e">
        <f t="shared" ca="1" si="46"/>
        <v>#VALUE!</v>
      </c>
      <c r="AO280" s="25" t="str">
        <f t="shared" ca="1" si="47"/>
        <v/>
      </c>
      <c r="AP280" s="25" t="str">
        <f t="shared" ca="1" si="48"/>
        <v/>
      </c>
      <c r="AU280" s="25" t="str">
        <f t="shared" ca="1" si="49"/>
        <v/>
      </c>
      <c r="BU280" s="4">
        <v>139</v>
      </c>
      <c r="BV280" s="4">
        <f t="shared" si="44"/>
        <v>11.1</v>
      </c>
    </row>
    <row r="281" spans="37:74" hidden="1" x14ac:dyDescent="0.25">
      <c r="AK281" s="24" t="str">
        <f>IF(AND($D$15&lt;&gt;"",MAX($AK$9:AK280)&lt;$D$15)=TRUE,AK280+0.5,"")</f>
        <v/>
      </c>
      <c r="AL281" s="25" t="str">
        <f t="shared" si="45"/>
        <v/>
      </c>
      <c r="AN281" s="25" t="e">
        <f t="shared" ca="1" si="46"/>
        <v>#VALUE!</v>
      </c>
      <c r="AO281" s="25" t="str">
        <f t="shared" ca="1" si="47"/>
        <v/>
      </c>
      <c r="AP281" s="25" t="str">
        <f t="shared" ca="1" si="48"/>
        <v/>
      </c>
      <c r="AU281" s="25" t="str">
        <f t="shared" ca="1" si="49"/>
        <v/>
      </c>
      <c r="BU281" s="4">
        <v>139.5</v>
      </c>
      <c r="BV281" s="4">
        <f t="shared" si="44"/>
        <v>11.1</v>
      </c>
    </row>
    <row r="282" spans="37:74" hidden="1" x14ac:dyDescent="0.25">
      <c r="AK282" s="24" t="str">
        <f>IF(AND($D$15&lt;&gt;"",MAX($AK$9:AK281)&lt;$D$15)=TRUE,AK281+0.5,"")</f>
        <v/>
      </c>
      <c r="AL282" s="25" t="str">
        <f t="shared" si="45"/>
        <v/>
      </c>
      <c r="AN282" s="25" t="e">
        <f t="shared" ca="1" si="46"/>
        <v>#VALUE!</v>
      </c>
      <c r="AO282" s="25" t="str">
        <f t="shared" ca="1" si="47"/>
        <v/>
      </c>
      <c r="AP282" s="25" t="str">
        <f t="shared" ca="1" si="48"/>
        <v/>
      </c>
      <c r="AU282" s="25" t="str">
        <f t="shared" ca="1" si="49"/>
        <v/>
      </c>
      <c r="BU282" s="4">
        <v>140</v>
      </c>
      <c r="BV282" s="4">
        <f t="shared" si="44"/>
        <v>11.2</v>
      </c>
    </row>
    <row r="283" spans="37:74" hidden="1" x14ac:dyDescent="0.25">
      <c r="AK283" s="24" t="str">
        <f>IF(AND($D$15&lt;&gt;"",MAX($AK$9:AK282)&lt;$D$15)=TRUE,AK282+0.5,"")</f>
        <v/>
      </c>
      <c r="AL283" s="25" t="str">
        <f t="shared" si="45"/>
        <v/>
      </c>
      <c r="AN283" s="25" t="e">
        <f t="shared" ca="1" si="46"/>
        <v>#VALUE!</v>
      </c>
      <c r="AO283" s="25" t="str">
        <f t="shared" ca="1" si="47"/>
        <v/>
      </c>
      <c r="AP283" s="25" t="str">
        <f t="shared" ca="1" si="48"/>
        <v/>
      </c>
      <c r="AU283" s="25" t="str">
        <f t="shared" ca="1" si="49"/>
        <v/>
      </c>
      <c r="BU283" s="4">
        <v>140.5</v>
      </c>
      <c r="BV283" s="4">
        <f t="shared" si="44"/>
        <v>11.2</v>
      </c>
    </row>
    <row r="284" spans="37:74" hidden="1" x14ac:dyDescent="0.25">
      <c r="AK284" s="24" t="str">
        <f>IF(AND($D$15&lt;&gt;"",MAX($AK$9:AK283)&lt;$D$15)=TRUE,AK283+0.5,"")</f>
        <v/>
      </c>
      <c r="AL284" s="25" t="str">
        <f t="shared" si="45"/>
        <v/>
      </c>
      <c r="AN284" s="25" t="e">
        <f t="shared" ca="1" si="46"/>
        <v>#VALUE!</v>
      </c>
      <c r="AO284" s="25" t="str">
        <f t="shared" ca="1" si="47"/>
        <v/>
      </c>
      <c r="AP284" s="25" t="str">
        <f t="shared" ca="1" si="48"/>
        <v/>
      </c>
      <c r="AU284" s="25" t="str">
        <f t="shared" ca="1" si="49"/>
        <v/>
      </c>
      <c r="BU284" s="4">
        <v>141</v>
      </c>
      <c r="BV284" s="4">
        <f t="shared" si="44"/>
        <v>11.3</v>
      </c>
    </row>
    <row r="285" spans="37:74" hidden="1" x14ac:dyDescent="0.25">
      <c r="AK285" s="24" t="str">
        <f>IF(AND($D$15&lt;&gt;"",MAX($AK$9:AK284)&lt;$D$15)=TRUE,AK284+0.5,"")</f>
        <v/>
      </c>
      <c r="AL285" s="25" t="str">
        <f t="shared" si="45"/>
        <v/>
      </c>
      <c r="AN285" s="25" t="e">
        <f t="shared" ca="1" si="46"/>
        <v>#VALUE!</v>
      </c>
      <c r="AO285" s="25" t="str">
        <f t="shared" ca="1" si="47"/>
        <v/>
      </c>
      <c r="AP285" s="25" t="str">
        <f t="shared" ca="1" si="48"/>
        <v/>
      </c>
      <c r="AU285" s="25" t="str">
        <f t="shared" ca="1" si="49"/>
        <v/>
      </c>
      <c r="BU285" s="4">
        <v>141.5</v>
      </c>
      <c r="BV285" s="4">
        <f t="shared" si="44"/>
        <v>11.3</v>
      </c>
    </row>
    <row r="286" spans="37:74" hidden="1" x14ac:dyDescent="0.25">
      <c r="AK286" s="24" t="str">
        <f>IF(AND($D$15&lt;&gt;"",MAX($AK$9:AK285)&lt;$D$15)=TRUE,AK285+0.5,"")</f>
        <v/>
      </c>
      <c r="AL286" s="25" t="str">
        <f t="shared" si="45"/>
        <v/>
      </c>
      <c r="AN286" s="25" t="e">
        <f t="shared" ca="1" si="46"/>
        <v>#VALUE!</v>
      </c>
      <c r="AO286" s="25" t="str">
        <f t="shared" ca="1" si="47"/>
        <v/>
      </c>
      <c r="AP286" s="25" t="str">
        <f t="shared" ca="1" si="48"/>
        <v/>
      </c>
      <c r="AU286" s="25" t="str">
        <f t="shared" ca="1" si="49"/>
        <v/>
      </c>
      <c r="BU286" s="4">
        <v>142</v>
      </c>
      <c r="BV286" s="4">
        <f t="shared" si="44"/>
        <v>11.3</v>
      </c>
    </row>
    <row r="287" spans="37:74" hidden="1" x14ac:dyDescent="0.25">
      <c r="AK287" s="24" t="str">
        <f>IF(AND($D$15&lt;&gt;"",MAX($AK$9:AK286)&lt;$D$15)=TRUE,AK286+0.5,"")</f>
        <v/>
      </c>
      <c r="AL287" s="25" t="str">
        <f t="shared" si="45"/>
        <v/>
      </c>
      <c r="AN287" s="25" t="e">
        <f t="shared" ca="1" si="46"/>
        <v>#VALUE!</v>
      </c>
      <c r="AO287" s="25" t="str">
        <f t="shared" ca="1" si="47"/>
        <v/>
      </c>
      <c r="AP287" s="25" t="str">
        <f t="shared" ca="1" si="48"/>
        <v/>
      </c>
      <c r="AU287" s="25" t="str">
        <f t="shared" ca="1" si="49"/>
        <v/>
      </c>
      <c r="BU287" s="4">
        <v>142.5</v>
      </c>
      <c r="BV287" s="4">
        <f t="shared" si="44"/>
        <v>11.4</v>
      </c>
    </row>
    <row r="288" spans="37:74" hidden="1" x14ac:dyDescent="0.25">
      <c r="AK288" s="24" t="str">
        <f>IF(AND($D$15&lt;&gt;"",MAX($AK$9:AK287)&lt;$D$15)=TRUE,AK287+0.5,"")</f>
        <v/>
      </c>
      <c r="AL288" s="25" t="str">
        <f t="shared" si="45"/>
        <v/>
      </c>
      <c r="AN288" s="25" t="e">
        <f t="shared" ca="1" si="46"/>
        <v>#VALUE!</v>
      </c>
      <c r="AO288" s="25" t="str">
        <f t="shared" ca="1" si="47"/>
        <v/>
      </c>
      <c r="AP288" s="25" t="str">
        <f t="shared" ca="1" si="48"/>
        <v/>
      </c>
      <c r="AU288" s="25" t="str">
        <f t="shared" ca="1" si="49"/>
        <v/>
      </c>
      <c r="BU288" s="4">
        <v>143</v>
      </c>
      <c r="BV288" s="4">
        <f t="shared" si="44"/>
        <v>11.4</v>
      </c>
    </row>
    <row r="289" spans="37:74" hidden="1" x14ac:dyDescent="0.25">
      <c r="AK289" s="24" t="str">
        <f>IF(AND($D$15&lt;&gt;"",MAX($AK$9:AK288)&lt;$D$15)=TRUE,AK288+0.5,"")</f>
        <v/>
      </c>
      <c r="AL289" s="25" t="str">
        <f t="shared" si="45"/>
        <v/>
      </c>
      <c r="AN289" s="25" t="e">
        <f t="shared" ca="1" si="46"/>
        <v>#VALUE!</v>
      </c>
      <c r="AO289" s="25" t="str">
        <f t="shared" ca="1" si="47"/>
        <v/>
      </c>
      <c r="AP289" s="25" t="str">
        <f t="shared" ca="1" si="48"/>
        <v/>
      </c>
      <c r="AU289" s="25" t="str">
        <f t="shared" ca="1" si="49"/>
        <v/>
      </c>
      <c r="BU289" s="4">
        <v>143.5</v>
      </c>
      <c r="BV289" s="4">
        <f t="shared" si="44"/>
        <v>11.5</v>
      </c>
    </row>
    <row r="290" spans="37:74" hidden="1" x14ac:dyDescent="0.25">
      <c r="AK290" s="24" t="str">
        <f>IF(AND($D$15&lt;&gt;"",MAX($AK$9:AK289)&lt;$D$15)=TRUE,AK289+0.5,"")</f>
        <v/>
      </c>
      <c r="AL290" s="25" t="str">
        <f t="shared" si="45"/>
        <v/>
      </c>
      <c r="AN290" s="25" t="e">
        <f t="shared" ca="1" si="46"/>
        <v>#VALUE!</v>
      </c>
      <c r="AO290" s="25" t="str">
        <f t="shared" ca="1" si="47"/>
        <v/>
      </c>
      <c r="AP290" s="25" t="str">
        <f t="shared" ca="1" si="48"/>
        <v/>
      </c>
      <c r="AU290" s="25" t="str">
        <f t="shared" ca="1" si="49"/>
        <v/>
      </c>
      <c r="BU290" s="4">
        <v>144</v>
      </c>
      <c r="BV290" s="4">
        <f t="shared" si="44"/>
        <v>11.5</v>
      </c>
    </row>
    <row r="291" spans="37:74" hidden="1" x14ac:dyDescent="0.25">
      <c r="AK291" s="24" t="str">
        <f>IF(AND($D$15&lt;&gt;"",MAX($AK$9:AK290)&lt;$D$15)=TRUE,AK290+0.5,"")</f>
        <v/>
      </c>
      <c r="AL291" s="25" t="str">
        <f t="shared" si="45"/>
        <v/>
      </c>
      <c r="AN291" s="25" t="e">
        <f t="shared" ca="1" si="46"/>
        <v>#VALUE!</v>
      </c>
      <c r="AO291" s="25" t="str">
        <f t="shared" ca="1" si="47"/>
        <v/>
      </c>
      <c r="AP291" s="25" t="str">
        <f t="shared" ca="1" si="48"/>
        <v/>
      </c>
      <c r="AU291" s="25" t="str">
        <f t="shared" ca="1" si="49"/>
        <v/>
      </c>
      <c r="BU291" s="4">
        <v>144.5</v>
      </c>
      <c r="BV291" s="4">
        <f t="shared" si="44"/>
        <v>11.5</v>
      </c>
    </row>
    <row r="292" spans="37:74" hidden="1" x14ac:dyDescent="0.25">
      <c r="AK292" s="24" t="str">
        <f>IF(AND($D$15&lt;&gt;"",MAX($AK$9:AK291)&lt;$D$15)=TRUE,AK291+0.5,"")</f>
        <v/>
      </c>
      <c r="AL292" s="25" t="str">
        <f t="shared" si="45"/>
        <v/>
      </c>
      <c r="AN292" s="25" t="e">
        <f t="shared" ca="1" si="46"/>
        <v>#VALUE!</v>
      </c>
      <c r="AO292" s="25" t="str">
        <f t="shared" ca="1" si="47"/>
        <v/>
      </c>
      <c r="AP292" s="25" t="str">
        <f t="shared" ca="1" si="48"/>
        <v/>
      </c>
      <c r="AU292" s="25" t="str">
        <f t="shared" ca="1" si="49"/>
        <v/>
      </c>
      <c r="BU292" s="4">
        <v>145</v>
      </c>
      <c r="BV292" s="4">
        <f t="shared" si="44"/>
        <v>11.6</v>
      </c>
    </row>
    <row r="293" spans="37:74" hidden="1" x14ac:dyDescent="0.25">
      <c r="AK293" s="24" t="str">
        <f>IF(AND($D$15&lt;&gt;"",MAX($AK$9:AK292)&lt;$D$15)=TRUE,AK292+0.5,"")</f>
        <v/>
      </c>
      <c r="AL293" s="25" t="str">
        <f t="shared" si="45"/>
        <v/>
      </c>
      <c r="AN293" s="25" t="e">
        <f t="shared" ca="1" si="46"/>
        <v>#VALUE!</v>
      </c>
      <c r="AO293" s="25" t="str">
        <f t="shared" ca="1" si="47"/>
        <v/>
      </c>
      <c r="AP293" s="25" t="str">
        <f t="shared" ca="1" si="48"/>
        <v/>
      </c>
      <c r="AU293" s="25" t="str">
        <f t="shared" ca="1" si="49"/>
        <v/>
      </c>
      <c r="BU293" s="4">
        <v>145.5</v>
      </c>
      <c r="BV293" s="4">
        <f t="shared" si="44"/>
        <v>11.6</v>
      </c>
    </row>
    <row r="294" spans="37:74" hidden="1" x14ac:dyDescent="0.25">
      <c r="AK294" s="24" t="str">
        <f>IF(AND($D$15&lt;&gt;"",MAX($AK$9:AK293)&lt;$D$15)=TRUE,AK293+0.5,"")</f>
        <v/>
      </c>
      <c r="AL294" s="25" t="str">
        <f t="shared" si="45"/>
        <v/>
      </c>
      <c r="AN294" s="25" t="e">
        <f t="shared" ca="1" si="46"/>
        <v>#VALUE!</v>
      </c>
      <c r="AO294" s="25" t="str">
        <f t="shared" ca="1" si="47"/>
        <v/>
      </c>
      <c r="AP294" s="25" t="str">
        <f t="shared" ca="1" si="48"/>
        <v/>
      </c>
      <c r="AU294" s="25" t="str">
        <f t="shared" ca="1" si="49"/>
        <v/>
      </c>
      <c r="BU294" s="4">
        <v>146</v>
      </c>
      <c r="BV294" s="4">
        <f t="shared" si="44"/>
        <v>11.7</v>
      </c>
    </row>
    <row r="295" spans="37:74" hidden="1" x14ac:dyDescent="0.25">
      <c r="AK295" s="24" t="str">
        <f>IF(AND($D$15&lt;&gt;"",MAX($AK$9:AK294)&lt;$D$15)=TRUE,AK294+0.5,"")</f>
        <v/>
      </c>
      <c r="AL295" s="25" t="str">
        <f t="shared" si="45"/>
        <v/>
      </c>
      <c r="AN295" s="25" t="e">
        <f t="shared" ca="1" si="46"/>
        <v>#VALUE!</v>
      </c>
      <c r="AO295" s="25" t="str">
        <f t="shared" ca="1" si="47"/>
        <v/>
      </c>
      <c r="AP295" s="25" t="str">
        <f t="shared" ca="1" si="48"/>
        <v/>
      </c>
      <c r="AU295" s="25" t="str">
        <f t="shared" ca="1" si="49"/>
        <v/>
      </c>
      <c r="BU295" s="4">
        <v>146.5</v>
      </c>
      <c r="BV295" s="4">
        <f t="shared" si="44"/>
        <v>11.7</v>
      </c>
    </row>
    <row r="296" spans="37:74" hidden="1" x14ac:dyDescent="0.25">
      <c r="AK296" s="24" t="str">
        <f>IF(AND($D$15&lt;&gt;"",MAX($AK$9:AK295)&lt;$D$15)=TRUE,AK295+0.5,"")</f>
        <v/>
      </c>
      <c r="AL296" s="25" t="str">
        <f t="shared" si="45"/>
        <v/>
      </c>
      <c r="AN296" s="25" t="e">
        <f t="shared" ca="1" si="46"/>
        <v>#VALUE!</v>
      </c>
      <c r="AO296" s="25" t="str">
        <f t="shared" ca="1" si="47"/>
        <v/>
      </c>
      <c r="AP296" s="25" t="str">
        <f t="shared" ca="1" si="48"/>
        <v/>
      </c>
      <c r="AU296" s="25" t="str">
        <f t="shared" ca="1" si="49"/>
        <v/>
      </c>
      <c r="BU296" s="4">
        <v>147</v>
      </c>
      <c r="BV296" s="4">
        <f t="shared" si="44"/>
        <v>11.8</v>
      </c>
    </row>
    <row r="297" spans="37:74" hidden="1" x14ac:dyDescent="0.25">
      <c r="AK297" s="24" t="str">
        <f>IF(AND($D$15&lt;&gt;"",MAX($AK$9:AK296)&lt;$D$15)=TRUE,AK296+0.5,"")</f>
        <v/>
      </c>
      <c r="AL297" s="25" t="str">
        <f t="shared" si="45"/>
        <v/>
      </c>
      <c r="AN297" s="25" t="e">
        <f t="shared" ca="1" si="46"/>
        <v>#VALUE!</v>
      </c>
      <c r="AO297" s="25" t="str">
        <f t="shared" ca="1" si="47"/>
        <v/>
      </c>
      <c r="AP297" s="25" t="str">
        <f t="shared" ca="1" si="48"/>
        <v/>
      </c>
      <c r="AU297" s="25" t="str">
        <f t="shared" ca="1" si="49"/>
        <v/>
      </c>
      <c r="BU297" s="4">
        <v>147.5</v>
      </c>
      <c r="BV297" s="4">
        <f t="shared" si="44"/>
        <v>11.8</v>
      </c>
    </row>
    <row r="298" spans="37:74" hidden="1" x14ac:dyDescent="0.25">
      <c r="AK298" s="24" t="str">
        <f>IF(AND($D$15&lt;&gt;"",MAX($AK$9:AK297)&lt;$D$15)=TRUE,AK297+0.5,"")</f>
        <v/>
      </c>
      <c r="AL298" s="25" t="str">
        <f t="shared" si="45"/>
        <v/>
      </c>
      <c r="AN298" s="25" t="e">
        <f t="shared" ca="1" si="46"/>
        <v>#VALUE!</v>
      </c>
      <c r="AO298" s="25" t="str">
        <f t="shared" ca="1" si="47"/>
        <v/>
      </c>
      <c r="AP298" s="25" t="str">
        <f t="shared" ca="1" si="48"/>
        <v/>
      </c>
      <c r="AU298" s="25" t="str">
        <f t="shared" ca="1" si="49"/>
        <v/>
      </c>
      <c r="BU298" s="4">
        <v>148</v>
      </c>
      <c r="BV298" s="4">
        <f t="shared" si="44"/>
        <v>11.8</v>
      </c>
    </row>
    <row r="299" spans="37:74" hidden="1" x14ac:dyDescent="0.25">
      <c r="AK299" s="24" t="str">
        <f>IF(AND($D$15&lt;&gt;"",MAX($AK$9:AK298)&lt;$D$15)=TRUE,AK298+0.5,"")</f>
        <v/>
      </c>
      <c r="AL299" s="25" t="str">
        <f t="shared" si="45"/>
        <v/>
      </c>
      <c r="AN299" s="25" t="e">
        <f t="shared" ca="1" si="46"/>
        <v>#VALUE!</v>
      </c>
      <c r="AO299" s="25" t="str">
        <f t="shared" ca="1" si="47"/>
        <v/>
      </c>
      <c r="AP299" s="25" t="str">
        <f t="shared" ca="1" si="48"/>
        <v/>
      </c>
      <c r="AU299" s="25" t="str">
        <f t="shared" ca="1" si="49"/>
        <v/>
      </c>
      <c r="BU299" s="4">
        <v>148.5</v>
      </c>
      <c r="BV299" s="4">
        <f t="shared" si="44"/>
        <v>11.9</v>
      </c>
    </row>
    <row r="300" spans="37:74" hidden="1" x14ac:dyDescent="0.25">
      <c r="AK300" s="24" t="str">
        <f>IF(AND($D$15&lt;&gt;"",MAX($AK$9:AK299)&lt;$D$15)=TRUE,AK299+0.5,"")</f>
        <v/>
      </c>
      <c r="AL300" s="25" t="str">
        <f t="shared" si="45"/>
        <v/>
      </c>
      <c r="AN300" s="25" t="e">
        <f t="shared" ca="1" si="46"/>
        <v>#VALUE!</v>
      </c>
      <c r="AO300" s="25" t="str">
        <f t="shared" ca="1" si="47"/>
        <v/>
      </c>
      <c r="AP300" s="25" t="str">
        <f t="shared" ca="1" si="48"/>
        <v/>
      </c>
      <c r="AU300" s="25" t="str">
        <f t="shared" ca="1" si="49"/>
        <v/>
      </c>
      <c r="BU300" s="4">
        <v>149</v>
      </c>
      <c r="BV300" s="4">
        <f t="shared" si="44"/>
        <v>11.9</v>
      </c>
    </row>
    <row r="301" spans="37:74" hidden="1" x14ac:dyDescent="0.25">
      <c r="AK301" s="24" t="str">
        <f>IF(AND($D$15&lt;&gt;"",MAX($AK$9:AK300)&lt;$D$15)=TRUE,AK300+0.5,"")</f>
        <v/>
      </c>
      <c r="AL301" s="25" t="str">
        <f t="shared" ref="AL301:AL340" si="50">IF(AK301&lt;=$D$15,IF($D$17=$AZ$9,AO301,IF($D$17=$AZ$10,AN301,IF($D$17=$AZ$11,AU301,""))),"")</f>
        <v/>
      </c>
      <c r="AN301" s="25" t="e">
        <f t="shared" ca="1" si="46"/>
        <v>#VALUE!</v>
      </c>
      <c r="AO301" s="25" t="str">
        <f t="shared" ca="1" si="47"/>
        <v/>
      </c>
      <c r="AP301" s="25" t="str">
        <f t="shared" ca="1" si="48"/>
        <v/>
      </c>
      <c r="AU301" s="25" t="str">
        <f t="shared" ca="1" si="49"/>
        <v/>
      </c>
      <c r="BU301" s="4">
        <v>149.5</v>
      </c>
      <c r="BV301" s="4">
        <f t="shared" si="44"/>
        <v>12</v>
      </c>
    </row>
    <row r="302" spans="37:74" hidden="1" x14ac:dyDescent="0.25">
      <c r="AK302" s="24" t="str">
        <f>IF(AND($D$15&lt;&gt;"",MAX($AK$9:AK301)&lt;$D$15)=TRUE,AK301+0.5,"")</f>
        <v/>
      </c>
      <c r="AL302" s="25" t="str">
        <f t="shared" si="50"/>
        <v/>
      </c>
      <c r="AN302" s="25" t="e">
        <f t="shared" ca="1" si="46"/>
        <v>#VALUE!</v>
      </c>
      <c r="AO302" s="25" t="str">
        <f t="shared" ca="1" si="47"/>
        <v/>
      </c>
      <c r="AP302" s="25" t="str">
        <f t="shared" ca="1" si="48"/>
        <v/>
      </c>
      <c r="AU302" s="25" t="str">
        <f t="shared" ca="1" si="49"/>
        <v/>
      </c>
      <c r="BU302" s="4">
        <v>150</v>
      </c>
      <c r="BV302" s="4">
        <f t="shared" si="44"/>
        <v>12</v>
      </c>
    </row>
    <row r="303" spans="37:74" hidden="1" x14ac:dyDescent="0.25">
      <c r="AK303" s="24" t="str">
        <f>IF(AND($D$15&lt;&gt;"",MAX($AK$9:AK302)&lt;$D$15)=TRUE,AK302+0.5,"")</f>
        <v/>
      </c>
      <c r="AL303" s="25" t="str">
        <f t="shared" si="50"/>
        <v/>
      </c>
      <c r="AN303" s="25" t="e">
        <f t="shared" ca="1" si="46"/>
        <v>#VALUE!</v>
      </c>
      <c r="AO303" s="25" t="str">
        <f t="shared" ca="1" si="47"/>
        <v/>
      </c>
      <c r="AP303" s="25" t="str">
        <f t="shared" ca="1" si="48"/>
        <v/>
      </c>
      <c r="AU303" s="25" t="str">
        <f t="shared" ca="1" si="49"/>
        <v/>
      </c>
      <c r="BU303" s="4">
        <v>150.5</v>
      </c>
      <c r="BV303" s="4">
        <f t="shared" si="44"/>
        <v>12</v>
      </c>
    </row>
    <row r="304" spans="37:74" hidden="1" x14ac:dyDescent="0.25">
      <c r="AK304" s="24" t="str">
        <f>IF(AND($D$15&lt;&gt;"",MAX($AK$9:AK303)&lt;$D$15)=TRUE,AK303+0.5,"")</f>
        <v/>
      </c>
      <c r="AL304" s="25" t="str">
        <f t="shared" si="50"/>
        <v/>
      </c>
      <c r="AN304" s="25" t="e">
        <f t="shared" ca="1" si="46"/>
        <v>#VALUE!</v>
      </c>
      <c r="AO304" s="25" t="str">
        <f t="shared" ca="1" si="47"/>
        <v/>
      </c>
      <c r="AP304" s="25" t="str">
        <f t="shared" ca="1" si="48"/>
        <v/>
      </c>
      <c r="AU304" s="25" t="str">
        <f t="shared" ca="1" si="49"/>
        <v/>
      </c>
      <c r="BU304" s="4">
        <v>151</v>
      </c>
      <c r="BV304" s="4">
        <f t="shared" si="44"/>
        <v>12.1</v>
      </c>
    </row>
    <row r="305" spans="37:74" hidden="1" x14ac:dyDescent="0.25">
      <c r="AK305" s="24" t="str">
        <f>IF(AND($D$15&lt;&gt;"",MAX($AK$9:AK304)&lt;$D$15)=TRUE,AK304+0.5,"")</f>
        <v/>
      </c>
      <c r="AL305" s="25" t="str">
        <f t="shared" si="50"/>
        <v/>
      </c>
      <c r="AN305" s="25" t="e">
        <f t="shared" ca="1" si="46"/>
        <v>#VALUE!</v>
      </c>
      <c r="AO305" s="25" t="str">
        <f t="shared" ca="1" si="47"/>
        <v/>
      </c>
      <c r="AP305" s="25" t="str">
        <f t="shared" ca="1" si="48"/>
        <v/>
      </c>
      <c r="AU305" s="25" t="str">
        <f t="shared" ca="1" si="49"/>
        <v/>
      </c>
      <c r="BU305" s="4">
        <v>151.5</v>
      </c>
      <c r="BV305" s="4">
        <f t="shared" si="44"/>
        <v>12.1</v>
      </c>
    </row>
    <row r="306" spans="37:74" hidden="1" x14ac:dyDescent="0.25">
      <c r="AK306" s="24" t="str">
        <f>IF(AND($D$15&lt;&gt;"",MAX($AK$9:AK305)&lt;$D$15)=TRUE,AK305+0.5,"")</f>
        <v/>
      </c>
      <c r="AL306" s="25" t="str">
        <f t="shared" si="50"/>
        <v/>
      </c>
      <c r="AN306" s="25" t="e">
        <f t="shared" ca="1" si="46"/>
        <v>#VALUE!</v>
      </c>
      <c r="AO306" s="25" t="str">
        <f t="shared" ca="1" si="47"/>
        <v/>
      </c>
      <c r="AP306" s="25" t="str">
        <f t="shared" ca="1" si="48"/>
        <v/>
      </c>
      <c r="AU306" s="25" t="str">
        <f t="shared" ca="1" si="49"/>
        <v/>
      </c>
      <c r="BU306" s="4">
        <v>152</v>
      </c>
      <c r="BV306" s="4">
        <f t="shared" si="44"/>
        <v>12.2</v>
      </c>
    </row>
    <row r="307" spans="37:74" hidden="1" x14ac:dyDescent="0.25">
      <c r="AK307" s="24" t="str">
        <f>IF(AND($D$15&lt;&gt;"",MAX($AK$9:AK306)&lt;$D$15)=TRUE,AK306+0.5,"")</f>
        <v/>
      </c>
      <c r="AL307" s="25" t="str">
        <f t="shared" si="50"/>
        <v/>
      </c>
      <c r="AN307" s="25" t="e">
        <f t="shared" ca="1" si="46"/>
        <v>#VALUE!</v>
      </c>
      <c r="AO307" s="25" t="str">
        <f t="shared" ca="1" si="47"/>
        <v/>
      </c>
      <c r="AP307" s="25" t="str">
        <f t="shared" ca="1" si="48"/>
        <v/>
      </c>
      <c r="AU307" s="25" t="str">
        <f t="shared" ca="1" si="49"/>
        <v/>
      </c>
      <c r="BU307" s="4">
        <v>152.5</v>
      </c>
      <c r="BV307" s="4">
        <f t="shared" si="44"/>
        <v>12.2</v>
      </c>
    </row>
    <row r="308" spans="37:74" hidden="1" x14ac:dyDescent="0.25">
      <c r="AK308" s="24" t="str">
        <f>IF(AND($D$15&lt;&gt;"",MAX($AK$9:AK307)&lt;$D$15)=TRUE,AK307+0.5,"")</f>
        <v/>
      </c>
      <c r="AL308" s="25" t="str">
        <f t="shared" si="50"/>
        <v/>
      </c>
      <c r="AN308" s="25" t="e">
        <f t="shared" ca="1" si="46"/>
        <v>#VALUE!</v>
      </c>
      <c r="AO308" s="25" t="str">
        <f t="shared" ca="1" si="47"/>
        <v/>
      </c>
      <c r="AP308" s="25" t="str">
        <f t="shared" ca="1" si="48"/>
        <v/>
      </c>
      <c r="AU308" s="25" t="str">
        <f t="shared" ca="1" si="49"/>
        <v/>
      </c>
      <c r="BU308" s="4">
        <v>153</v>
      </c>
      <c r="BV308" s="4">
        <f t="shared" si="44"/>
        <v>12.3</v>
      </c>
    </row>
    <row r="309" spans="37:74" hidden="1" x14ac:dyDescent="0.25">
      <c r="AK309" s="24" t="str">
        <f>IF(AND($D$15&lt;&gt;"",MAX($AK$9:AK308)&lt;$D$15)=TRUE,AK308+0.5,"")</f>
        <v/>
      </c>
      <c r="AL309" s="25" t="str">
        <f t="shared" si="50"/>
        <v/>
      </c>
      <c r="AN309" s="25" t="e">
        <f t="shared" ca="1" si="46"/>
        <v>#VALUE!</v>
      </c>
      <c r="AO309" s="25" t="str">
        <f t="shared" ca="1" si="47"/>
        <v/>
      </c>
      <c r="AP309" s="25" t="str">
        <f t="shared" ca="1" si="48"/>
        <v/>
      </c>
      <c r="AU309" s="25" t="str">
        <f t="shared" ca="1" si="49"/>
        <v/>
      </c>
      <c r="BU309" s="4">
        <v>153.5</v>
      </c>
      <c r="BV309" s="4">
        <f t="shared" si="44"/>
        <v>12.3</v>
      </c>
    </row>
    <row r="310" spans="37:74" hidden="1" x14ac:dyDescent="0.25">
      <c r="AK310" s="24" t="str">
        <f>IF(AND($D$15&lt;&gt;"",MAX($AK$9:AK309)&lt;$D$15)=TRUE,AK309+0.5,"")</f>
        <v/>
      </c>
      <c r="AL310" s="25" t="str">
        <f t="shared" si="50"/>
        <v/>
      </c>
      <c r="AN310" s="25" t="e">
        <f t="shared" ca="1" si="46"/>
        <v>#VALUE!</v>
      </c>
      <c r="AO310" s="25" t="str">
        <f t="shared" ca="1" si="47"/>
        <v/>
      </c>
      <c r="AP310" s="25" t="str">
        <f t="shared" ca="1" si="48"/>
        <v/>
      </c>
      <c r="AU310" s="25" t="str">
        <f t="shared" ca="1" si="49"/>
        <v/>
      </c>
      <c r="BU310" s="4">
        <v>154</v>
      </c>
      <c r="BV310" s="4">
        <f t="shared" si="44"/>
        <v>12.3</v>
      </c>
    </row>
    <row r="311" spans="37:74" hidden="1" x14ac:dyDescent="0.25">
      <c r="AK311" s="24" t="str">
        <f>IF(AND($D$15&lt;&gt;"",MAX($AK$9:AK310)&lt;$D$15)=TRUE,AK310+0.5,"")</f>
        <v/>
      </c>
      <c r="AL311" s="25" t="str">
        <f t="shared" si="50"/>
        <v/>
      </c>
      <c r="AN311" s="25" t="e">
        <f t="shared" ca="1" si="46"/>
        <v>#VALUE!</v>
      </c>
      <c r="AO311" s="25" t="str">
        <f t="shared" ca="1" si="47"/>
        <v/>
      </c>
      <c r="AP311" s="25" t="str">
        <f t="shared" ca="1" si="48"/>
        <v/>
      </c>
      <c r="AU311" s="25" t="str">
        <f t="shared" ca="1" si="49"/>
        <v/>
      </c>
      <c r="BU311" s="4">
        <v>154.5</v>
      </c>
      <c r="BV311" s="4">
        <f t="shared" si="44"/>
        <v>12.4</v>
      </c>
    </row>
    <row r="312" spans="37:74" hidden="1" x14ac:dyDescent="0.25">
      <c r="AK312" s="24" t="str">
        <f>IF(AND($D$15&lt;&gt;"",MAX($AK$9:AK311)&lt;$D$15)=TRUE,AK311+0.5,"")</f>
        <v/>
      </c>
      <c r="AL312" s="25" t="str">
        <f t="shared" si="50"/>
        <v/>
      </c>
      <c r="AN312" s="25" t="e">
        <f t="shared" ca="1" si="46"/>
        <v>#VALUE!</v>
      </c>
      <c r="AO312" s="25" t="str">
        <f t="shared" ca="1" si="47"/>
        <v/>
      </c>
      <c r="AP312" s="25" t="str">
        <f t="shared" ca="1" si="48"/>
        <v/>
      </c>
      <c r="AU312" s="25" t="str">
        <f t="shared" ca="1" si="49"/>
        <v/>
      </c>
      <c r="BU312" s="4">
        <v>155</v>
      </c>
      <c r="BV312" s="4">
        <f t="shared" si="44"/>
        <v>12.4</v>
      </c>
    </row>
    <row r="313" spans="37:74" hidden="1" x14ac:dyDescent="0.25">
      <c r="AK313" s="24" t="str">
        <f>IF(AND($D$15&lt;&gt;"",MAX($AK$9:AK312)&lt;$D$15)=TRUE,AK312+0.5,"")</f>
        <v/>
      </c>
      <c r="AL313" s="25" t="str">
        <f t="shared" si="50"/>
        <v/>
      </c>
      <c r="AN313" s="25" t="e">
        <f t="shared" ca="1" si="46"/>
        <v>#VALUE!</v>
      </c>
      <c r="AO313" s="25" t="str">
        <f t="shared" ca="1" si="47"/>
        <v/>
      </c>
      <c r="AP313" s="25" t="str">
        <f t="shared" ca="1" si="48"/>
        <v/>
      </c>
      <c r="AU313" s="25" t="str">
        <f t="shared" ca="1" si="49"/>
        <v/>
      </c>
      <c r="BU313" s="4">
        <v>155.5</v>
      </c>
      <c r="BV313" s="4">
        <f t="shared" si="44"/>
        <v>12.5</v>
      </c>
    </row>
    <row r="314" spans="37:74" hidden="1" x14ac:dyDescent="0.25">
      <c r="AK314" s="24" t="str">
        <f>IF(AND($D$15&lt;&gt;"",MAX($AK$9:AK313)&lt;$D$15)=TRUE,AK313+0.5,"")</f>
        <v/>
      </c>
      <c r="AL314" s="25" t="str">
        <f t="shared" si="50"/>
        <v/>
      </c>
      <c r="AN314" s="25" t="e">
        <f t="shared" ca="1" si="46"/>
        <v>#VALUE!</v>
      </c>
      <c r="AO314" s="25" t="str">
        <f t="shared" ca="1" si="47"/>
        <v/>
      </c>
      <c r="AP314" s="25" t="str">
        <f t="shared" ca="1" si="48"/>
        <v/>
      </c>
      <c r="AU314" s="25" t="str">
        <f t="shared" ca="1" si="49"/>
        <v/>
      </c>
      <c r="BU314" s="4">
        <v>156</v>
      </c>
      <c r="BV314" s="4">
        <f t="shared" si="44"/>
        <v>12.5</v>
      </c>
    </row>
    <row r="315" spans="37:74" hidden="1" x14ac:dyDescent="0.25">
      <c r="AK315" s="24" t="str">
        <f>IF(AND($D$15&lt;&gt;"",MAX($AK$9:AK314)&lt;$D$15)=TRUE,AK314+0.5,"")</f>
        <v/>
      </c>
      <c r="AL315" s="25" t="str">
        <f t="shared" si="50"/>
        <v/>
      </c>
      <c r="AN315" s="25" t="e">
        <f t="shared" ca="1" si="46"/>
        <v>#VALUE!</v>
      </c>
      <c r="AO315" s="25" t="str">
        <f t="shared" ca="1" si="47"/>
        <v/>
      </c>
      <c r="AP315" s="25" t="str">
        <f t="shared" ca="1" si="48"/>
        <v/>
      </c>
      <c r="AU315" s="25" t="str">
        <f t="shared" ca="1" si="49"/>
        <v/>
      </c>
      <c r="BU315" s="4">
        <v>156.5</v>
      </c>
      <c r="BV315" s="4">
        <f t="shared" si="44"/>
        <v>12.5</v>
      </c>
    </row>
    <row r="316" spans="37:74" hidden="1" x14ac:dyDescent="0.25">
      <c r="AK316" s="24" t="str">
        <f>IF(AND($D$15&lt;&gt;"",MAX($AK$9:AK315)&lt;$D$15)=TRUE,AK315+0.5,"")</f>
        <v/>
      </c>
      <c r="AL316" s="25" t="str">
        <f t="shared" si="50"/>
        <v/>
      </c>
      <c r="AN316" s="25" t="e">
        <f t="shared" ca="1" si="46"/>
        <v>#VALUE!</v>
      </c>
      <c r="AO316" s="25" t="str">
        <f t="shared" ca="1" si="47"/>
        <v/>
      </c>
      <c r="AP316" s="25" t="str">
        <f t="shared" ca="1" si="48"/>
        <v/>
      </c>
      <c r="AU316" s="25" t="str">
        <f t="shared" ca="1" si="49"/>
        <v/>
      </c>
      <c r="BU316" s="4">
        <v>157</v>
      </c>
      <c r="BV316" s="4">
        <f t="shared" si="44"/>
        <v>12.6</v>
      </c>
    </row>
    <row r="317" spans="37:74" hidden="1" x14ac:dyDescent="0.25">
      <c r="AK317" s="24" t="str">
        <f>IF(AND($D$15&lt;&gt;"",MAX($AK$9:AK316)&lt;$D$15)=TRUE,AK316+0.5,"")</f>
        <v/>
      </c>
      <c r="AL317" s="25" t="str">
        <f t="shared" si="50"/>
        <v/>
      </c>
      <c r="AN317" s="25" t="e">
        <f t="shared" ca="1" si="46"/>
        <v>#VALUE!</v>
      </c>
      <c r="AO317" s="25" t="str">
        <f t="shared" ca="1" si="47"/>
        <v/>
      </c>
      <c r="AP317" s="25" t="str">
        <f t="shared" ca="1" si="48"/>
        <v/>
      </c>
      <c r="AU317" s="25" t="str">
        <f t="shared" ca="1" si="49"/>
        <v/>
      </c>
      <c r="BU317" s="4">
        <v>157.5</v>
      </c>
      <c r="BV317" s="4">
        <f t="shared" si="44"/>
        <v>12.6</v>
      </c>
    </row>
    <row r="318" spans="37:74" hidden="1" x14ac:dyDescent="0.25">
      <c r="AK318" s="24" t="str">
        <f>IF(AND($D$15&lt;&gt;"",MAX($AK$9:AK317)&lt;$D$15)=TRUE,AK317+0.5,"")</f>
        <v/>
      </c>
      <c r="AL318" s="25" t="str">
        <f t="shared" si="50"/>
        <v/>
      </c>
      <c r="AN318" s="25" t="e">
        <f t="shared" ca="1" si="46"/>
        <v>#VALUE!</v>
      </c>
      <c r="AO318" s="25" t="str">
        <f t="shared" ca="1" si="47"/>
        <v/>
      </c>
      <c r="AP318" s="25" t="str">
        <f t="shared" ca="1" si="48"/>
        <v/>
      </c>
      <c r="AU318" s="25" t="str">
        <f t="shared" ca="1" si="49"/>
        <v/>
      </c>
      <c r="BU318" s="4">
        <v>158</v>
      </c>
      <c r="BV318" s="4">
        <f t="shared" si="44"/>
        <v>12.7</v>
      </c>
    </row>
    <row r="319" spans="37:74" hidden="1" x14ac:dyDescent="0.25">
      <c r="AK319" s="24" t="str">
        <f>IF(AND($D$15&lt;&gt;"",MAX($AK$9:AK318)&lt;$D$15)=TRUE,AK318+0.5,"")</f>
        <v/>
      </c>
      <c r="AL319" s="25" t="str">
        <f t="shared" si="50"/>
        <v/>
      </c>
      <c r="AN319" s="25" t="e">
        <f t="shared" ca="1" si="46"/>
        <v>#VALUE!</v>
      </c>
      <c r="AO319" s="25" t="str">
        <f t="shared" ca="1" si="47"/>
        <v/>
      </c>
      <c r="AP319" s="25" t="str">
        <f t="shared" ca="1" si="48"/>
        <v/>
      </c>
      <c r="AU319" s="25" t="str">
        <f t="shared" ca="1" si="49"/>
        <v/>
      </c>
      <c r="BU319" s="4">
        <v>158.5</v>
      </c>
      <c r="BV319" s="4">
        <f t="shared" si="44"/>
        <v>12.7</v>
      </c>
    </row>
    <row r="320" spans="37:74" hidden="1" x14ac:dyDescent="0.25">
      <c r="AK320" s="24" t="str">
        <f>IF(AND($D$15&lt;&gt;"",MAX($AK$9:AK319)&lt;$D$15)=TRUE,AK319+0.5,"")</f>
        <v/>
      </c>
      <c r="AL320" s="25" t="str">
        <f t="shared" si="50"/>
        <v/>
      </c>
      <c r="AN320" s="25" t="e">
        <f t="shared" ca="1" si="46"/>
        <v>#VALUE!</v>
      </c>
      <c r="AO320" s="25" t="str">
        <f t="shared" ca="1" si="47"/>
        <v/>
      </c>
      <c r="AP320" s="25" t="str">
        <f t="shared" ca="1" si="48"/>
        <v/>
      </c>
      <c r="AU320" s="25" t="str">
        <f t="shared" ca="1" si="49"/>
        <v/>
      </c>
      <c r="BU320" s="4">
        <v>159</v>
      </c>
      <c r="BV320" s="4">
        <f t="shared" si="44"/>
        <v>12.8</v>
      </c>
    </row>
    <row r="321" spans="37:74" hidden="1" x14ac:dyDescent="0.25">
      <c r="AK321" s="24" t="str">
        <f>IF(AND($D$15&lt;&gt;"",MAX($AK$9:AK320)&lt;$D$15)=TRUE,AK320+0.5,"")</f>
        <v/>
      </c>
      <c r="AL321" s="25" t="str">
        <f t="shared" si="50"/>
        <v/>
      </c>
      <c r="AN321" s="25" t="e">
        <f t="shared" ca="1" si="46"/>
        <v>#VALUE!</v>
      </c>
      <c r="AO321" s="25" t="str">
        <f t="shared" ca="1" si="47"/>
        <v/>
      </c>
      <c r="AP321" s="25" t="str">
        <f t="shared" ca="1" si="48"/>
        <v/>
      </c>
      <c r="AU321" s="25" t="str">
        <f t="shared" ca="1" si="49"/>
        <v/>
      </c>
      <c r="BU321" s="4">
        <v>159.5</v>
      </c>
      <c r="BV321" s="4">
        <f t="shared" si="44"/>
        <v>12.8</v>
      </c>
    </row>
    <row r="322" spans="37:74" hidden="1" x14ac:dyDescent="0.25">
      <c r="AK322" s="24" t="str">
        <f>IF(AND($D$15&lt;&gt;"",MAX($AK$9:AK321)&lt;$D$15)=TRUE,AK321+0.5,"")</f>
        <v/>
      </c>
      <c r="AL322" s="25" t="str">
        <f t="shared" si="50"/>
        <v/>
      </c>
      <c r="AN322" s="25" t="e">
        <f t="shared" ca="1" si="46"/>
        <v>#VALUE!</v>
      </c>
      <c r="AO322" s="25" t="str">
        <f t="shared" ca="1" si="47"/>
        <v/>
      </c>
      <c r="AP322" s="25" t="str">
        <f t="shared" ca="1" si="48"/>
        <v/>
      </c>
      <c r="AU322" s="25" t="str">
        <f t="shared" ca="1" si="49"/>
        <v/>
      </c>
      <c r="BU322" s="4">
        <v>160</v>
      </c>
      <c r="BV322" s="4">
        <f t="shared" si="44"/>
        <v>12.8</v>
      </c>
    </row>
    <row r="323" spans="37:74" hidden="1" x14ac:dyDescent="0.25">
      <c r="AK323" s="24" t="str">
        <f>IF(AND($D$15&lt;&gt;"",MAX($AK$9:AK322)&lt;$D$15)=TRUE,AK322+0.5,"")</f>
        <v/>
      </c>
      <c r="AL323" s="25" t="str">
        <f t="shared" si="50"/>
        <v/>
      </c>
      <c r="AN323" s="25" t="e">
        <f t="shared" ca="1" si="46"/>
        <v>#VALUE!</v>
      </c>
      <c r="AO323" s="25" t="str">
        <f t="shared" ca="1" si="47"/>
        <v/>
      </c>
      <c r="AP323" s="25" t="str">
        <f t="shared" ca="1" si="48"/>
        <v/>
      </c>
      <c r="AU323" s="25" t="str">
        <f t="shared" ca="1" si="49"/>
        <v/>
      </c>
      <c r="BU323" s="4">
        <v>160.5</v>
      </c>
      <c r="BV323" s="4">
        <f t="shared" ref="BV323:BV386" si="51">IFERROR(IF(AND($BS$2&gt;=5,$BS$2&lt;=29),HLOOKUP($BS$2,$BX$1:$CV$60,$BT323,FALSE),IF(BU323&gt;=0.6*$BS$2*2,ROUND(((7-4)/($BS$2*2-0.6*$BS$2*2))*(BU323-0.6*$BS$2*2)+4,1),ROUND(((4-1)/(0.6*$BS$2*2))*BU323+1,1))),"")</f>
        <v>12.9</v>
      </c>
    </row>
    <row r="324" spans="37:74" hidden="1" x14ac:dyDescent="0.25">
      <c r="AK324" s="24" t="str">
        <f>IF(AND($D$15&lt;&gt;"",MAX($AK$9:AK323)&lt;$D$15)=TRUE,AK323+0.5,"")</f>
        <v/>
      </c>
      <c r="AL324" s="25" t="str">
        <f t="shared" si="50"/>
        <v/>
      </c>
      <c r="AN324" s="25" t="e">
        <f t="shared" ca="1" si="46"/>
        <v>#VALUE!</v>
      </c>
      <c r="AO324" s="25" t="str">
        <f t="shared" ca="1" si="47"/>
        <v/>
      </c>
      <c r="AP324" s="25" t="str">
        <f t="shared" ca="1" si="48"/>
        <v/>
      </c>
      <c r="AU324" s="25" t="str">
        <f t="shared" ca="1" si="49"/>
        <v/>
      </c>
      <c r="BU324" s="4">
        <v>161</v>
      </c>
      <c r="BV324" s="4">
        <f t="shared" si="51"/>
        <v>12.9</v>
      </c>
    </row>
    <row r="325" spans="37:74" hidden="1" x14ac:dyDescent="0.25">
      <c r="AK325" s="24" t="str">
        <f>IF(AND($D$15&lt;&gt;"",MAX($AK$9:AK324)&lt;$D$15)=TRUE,AK324+0.5,"")</f>
        <v/>
      </c>
      <c r="AL325" s="25" t="str">
        <f t="shared" si="50"/>
        <v/>
      </c>
      <c r="AN325" s="25" t="e">
        <f t="shared" ca="1" si="46"/>
        <v>#VALUE!</v>
      </c>
      <c r="AO325" s="25" t="str">
        <f t="shared" ca="1" si="47"/>
        <v/>
      </c>
      <c r="AP325" s="25" t="str">
        <f t="shared" ca="1" si="48"/>
        <v/>
      </c>
      <c r="AU325" s="25" t="str">
        <f t="shared" ca="1" si="49"/>
        <v/>
      </c>
      <c r="BU325" s="4">
        <v>161.5</v>
      </c>
      <c r="BV325" s="4">
        <f t="shared" si="51"/>
        <v>13</v>
      </c>
    </row>
    <row r="326" spans="37:74" hidden="1" x14ac:dyDescent="0.25">
      <c r="AK326" s="24" t="str">
        <f>IF(AND($D$15&lt;&gt;"",MAX($AK$9:AK325)&lt;$D$15)=TRUE,AK325+0.5,"")</f>
        <v/>
      </c>
      <c r="AL326" s="25" t="str">
        <f t="shared" si="50"/>
        <v/>
      </c>
      <c r="AN326" s="25" t="e">
        <f t="shared" ca="1" si="46"/>
        <v>#VALUE!</v>
      </c>
      <c r="AO326" s="25" t="str">
        <f t="shared" ca="1" si="47"/>
        <v/>
      </c>
      <c r="AP326" s="25" t="str">
        <f t="shared" ca="1" si="48"/>
        <v/>
      </c>
      <c r="AU326" s="25" t="str">
        <f t="shared" ca="1" si="49"/>
        <v/>
      </c>
      <c r="BU326" s="4">
        <v>162</v>
      </c>
      <c r="BV326" s="4">
        <f t="shared" si="51"/>
        <v>13</v>
      </c>
    </row>
    <row r="327" spans="37:74" hidden="1" x14ac:dyDescent="0.25">
      <c r="AK327" s="24" t="str">
        <f>IF(AND($D$15&lt;&gt;"",MAX($AK$9:AK326)&lt;$D$15)=TRUE,AK326+0.5,"")</f>
        <v/>
      </c>
      <c r="AL327" s="25" t="str">
        <f t="shared" si="50"/>
        <v/>
      </c>
      <c r="AN327" s="25" t="e">
        <f t="shared" ca="1" si="46"/>
        <v>#VALUE!</v>
      </c>
      <c r="AO327" s="25" t="str">
        <f t="shared" ca="1" si="47"/>
        <v/>
      </c>
      <c r="AP327" s="25" t="str">
        <f t="shared" ca="1" si="48"/>
        <v/>
      </c>
      <c r="AU327" s="25" t="str">
        <f t="shared" ca="1" si="49"/>
        <v/>
      </c>
      <c r="BU327" s="4">
        <v>162.5</v>
      </c>
      <c r="BV327" s="4">
        <f t="shared" si="51"/>
        <v>13</v>
      </c>
    </row>
    <row r="328" spans="37:74" hidden="1" x14ac:dyDescent="0.25">
      <c r="AK328" s="24" t="str">
        <f>IF(AND($D$15&lt;&gt;"",MAX($AK$9:AK327)&lt;$D$15)=TRUE,AK327+0.5,"")</f>
        <v/>
      </c>
      <c r="AL328" s="25" t="str">
        <f t="shared" si="50"/>
        <v/>
      </c>
      <c r="AN328" s="25" t="e">
        <f t="shared" ca="1" si="46"/>
        <v>#VALUE!</v>
      </c>
      <c r="AO328" s="25" t="str">
        <f t="shared" ca="1" si="47"/>
        <v/>
      </c>
      <c r="AP328" s="25" t="str">
        <f t="shared" ca="1" si="48"/>
        <v/>
      </c>
      <c r="AU328" s="25" t="str">
        <f t="shared" ca="1" si="49"/>
        <v/>
      </c>
      <c r="BU328" s="4">
        <v>163</v>
      </c>
      <c r="BV328" s="4">
        <f t="shared" si="51"/>
        <v>13.1</v>
      </c>
    </row>
    <row r="329" spans="37:74" hidden="1" x14ac:dyDescent="0.25">
      <c r="AK329" s="24" t="str">
        <f>IF(AND($D$15&lt;&gt;"",MAX($AK$9:AK328)&lt;$D$15)=TRUE,AK328+0.5,"")</f>
        <v/>
      </c>
      <c r="AL329" s="25" t="str">
        <f t="shared" si="50"/>
        <v/>
      </c>
      <c r="AN329" s="25" t="e">
        <f t="shared" ca="1" si="46"/>
        <v>#VALUE!</v>
      </c>
      <c r="AO329" s="25" t="str">
        <f t="shared" ca="1" si="47"/>
        <v/>
      </c>
      <c r="AP329" s="25" t="str">
        <f t="shared" ca="1" si="48"/>
        <v/>
      </c>
      <c r="AU329" s="25" t="str">
        <f t="shared" ca="1" si="49"/>
        <v/>
      </c>
      <c r="BU329" s="4">
        <v>163.5</v>
      </c>
      <c r="BV329" s="4">
        <f t="shared" si="51"/>
        <v>13.1</v>
      </c>
    </row>
    <row r="330" spans="37:74" hidden="1" x14ac:dyDescent="0.25">
      <c r="AK330" s="24" t="str">
        <f>IF(AND($D$15&lt;&gt;"",MAX($AK$9:AK329)&lt;$D$15)=TRUE,AK329+0.5,"")</f>
        <v/>
      </c>
      <c r="AL330" s="25" t="str">
        <f t="shared" si="50"/>
        <v/>
      </c>
      <c r="AN330" s="25" t="e">
        <f t="shared" ref="AN330:AN393" ca="1" si="52">IF($AN$1=2024,ROUND(IF(AK330&lt;$D$15*$D$13,(4-$D$9)*(AK330/($D$15*$D$13))+$D$9,($D$11-4)*((AK330-$D$15*$D$13)/($D$15*(1-$D$13)))+4),1),"")</f>
        <v>#VALUE!</v>
      </c>
      <c r="AO330" s="25" t="str">
        <f t="shared" ref="AO330:AO393" ca="1" si="53">IF($AN$1=2024,IFERROR(IF(AK330&lt;=$D$15,ROUND(AK330/$D$15*($D$11-$D$9)+$D$9,1),""),""),"")</f>
        <v/>
      </c>
      <c r="AP330" s="25" t="str">
        <f t="shared" ref="AP330:AP393" ca="1" si="54">IF($AN$1=2024,IF(AO330&lt;&gt;"",ROUND((AO330-AVERAGE($AO$9:$AO$609))/STDEV($AO$9:$AO$609),1),""),"")</f>
        <v/>
      </c>
      <c r="AU330" s="25" t="str">
        <f t="shared" ref="AU330:AU393" ca="1" si="55">IF($AN$1=2024,IF(AP330&lt;&gt;"",IF(AP330=MIN($AP$9:$AP$609),1,IF(AP330=MAX($AP$9:$AP$609),7,ROUND(VLOOKUP(AP330,$AR$9:$AS$89,2,FALSE),1))),""),"")</f>
        <v/>
      </c>
      <c r="BU330" s="4">
        <v>164</v>
      </c>
      <c r="BV330" s="4">
        <f t="shared" si="51"/>
        <v>13.2</v>
      </c>
    </row>
    <row r="331" spans="37:74" hidden="1" x14ac:dyDescent="0.25">
      <c r="AK331" s="24" t="str">
        <f>IF(AND($D$15&lt;&gt;"",MAX($AK$9:AK330)&lt;$D$15)=TRUE,AK330+0.5,"")</f>
        <v/>
      </c>
      <c r="AL331" s="25" t="str">
        <f t="shared" si="50"/>
        <v/>
      </c>
      <c r="AN331" s="25" t="e">
        <f t="shared" ca="1" si="52"/>
        <v>#VALUE!</v>
      </c>
      <c r="AO331" s="25" t="str">
        <f t="shared" ca="1" si="53"/>
        <v/>
      </c>
      <c r="AP331" s="25" t="str">
        <f t="shared" ca="1" si="54"/>
        <v/>
      </c>
      <c r="AU331" s="25" t="str">
        <f t="shared" ca="1" si="55"/>
        <v/>
      </c>
      <c r="BU331" s="4">
        <v>164.5</v>
      </c>
      <c r="BV331" s="4">
        <f t="shared" si="51"/>
        <v>13.2</v>
      </c>
    </row>
    <row r="332" spans="37:74" hidden="1" x14ac:dyDescent="0.25">
      <c r="AK332" s="24" t="str">
        <f>IF(AND($D$15&lt;&gt;"",MAX($AK$9:AK331)&lt;$D$15)=TRUE,AK331+0.5,"")</f>
        <v/>
      </c>
      <c r="AL332" s="25" t="str">
        <f t="shared" si="50"/>
        <v/>
      </c>
      <c r="AN332" s="25" t="e">
        <f t="shared" ca="1" si="52"/>
        <v>#VALUE!</v>
      </c>
      <c r="AO332" s="25" t="str">
        <f t="shared" ca="1" si="53"/>
        <v/>
      </c>
      <c r="AP332" s="25" t="str">
        <f t="shared" ca="1" si="54"/>
        <v/>
      </c>
      <c r="AU332" s="25" t="str">
        <f t="shared" ca="1" si="55"/>
        <v/>
      </c>
      <c r="BU332" s="4">
        <v>165</v>
      </c>
      <c r="BV332" s="4">
        <f t="shared" si="51"/>
        <v>13.3</v>
      </c>
    </row>
    <row r="333" spans="37:74" hidden="1" x14ac:dyDescent="0.25">
      <c r="AK333" s="24" t="str">
        <f>IF(AND($D$15&lt;&gt;"",MAX($AK$9:AK332)&lt;$D$15)=TRUE,AK332+0.5,"")</f>
        <v/>
      </c>
      <c r="AL333" s="25" t="str">
        <f t="shared" si="50"/>
        <v/>
      </c>
      <c r="AN333" s="25" t="e">
        <f t="shared" ca="1" si="52"/>
        <v>#VALUE!</v>
      </c>
      <c r="AO333" s="25" t="str">
        <f t="shared" ca="1" si="53"/>
        <v/>
      </c>
      <c r="AP333" s="25" t="str">
        <f t="shared" ca="1" si="54"/>
        <v/>
      </c>
      <c r="AU333" s="25" t="str">
        <f t="shared" ca="1" si="55"/>
        <v/>
      </c>
      <c r="BU333" s="4">
        <v>165.5</v>
      </c>
      <c r="BV333" s="4">
        <f t="shared" si="51"/>
        <v>13.3</v>
      </c>
    </row>
    <row r="334" spans="37:74" hidden="1" x14ac:dyDescent="0.25">
      <c r="AK334" s="24" t="str">
        <f>IF(AND($D$15&lt;&gt;"",MAX($AK$9:AK333)&lt;$D$15)=TRUE,AK333+0.5,"")</f>
        <v/>
      </c>
      <c r="AL334" s="25" t="str">
        <f t="shared" si="50"/>
        <v/>
      </c>
      <c r="AN334" s="25" t="e">
        <f t="shared" ca="1" si="52"/>
        <v>#VALUE!</v>
      </c>
      <c r="AO334" s="25" t="str">
        <f t="shared" ca="1" si="53"/>
        <v/>
      </c>
      <c r="AP334" s="25" t="str">
        <f t="shared" ca="1" si="54"/>
        <v/>
      </c>
      <c r="AU334" s="25" t="str">
        <f t="shared" ca="1" si="55"/>
        <v/>
      </c>
      <c r="BU334" s="4">
        <v>166</v>
      </c>
      <c r="BV334" s="4">
        <f t="shared" si="51"/>
        <v>13.3</v>
      </c>
    </row>
    <row r="335" spans="37:74" hidden="1" x14ac:dyDescent="0.25">
      <c r="AK335" s="24" t="str">
        <f>IF(AND($D$15&lt;&gt;"",MAX($AK$9:AK334)&lt;$D$15)=TRUE,AK334+0.5,"")</f>
        <v/>
      </c>
      <c r="AL335" s="25" t="str">
        <f t="shared" si="50"/>
        <v/>
      </c>
      <c r="AN335" s="25" t="e">
        <f t="shared" ca="1" si="52"/>
        <v>#VALUE!</v>
      </c>
      <c r="AO335" s="25" t="str">
        <f t="shared" ca="1" si="53"/>
        <v/>
      </c>
      <c r="AP335" s="25" t="str">
        <f t="shared" ca="1" si="54"/>
        <v/>
      </c>
      <c r="AU335" s="25" t="str">
        <f t="shared" ca="1" si="55"/>
        <v/>
      </c>
      <c r="BU335" s="4">
        <v>166.5</v>
      </c>
      <c r="BV335" s="4">
        <f t="shared" si="51"/>
        <v>13.4</v>
      </c>
    </row>
    <row r="336" spans="37:74" hidden="1" x14ac:dyDescent="0.25">
      <c r="AK336" s="24" t="str">
        <f>IF(AND($D$15&lt;&gt;"",MAX($AK$9:AK335)&lt;$D$15)=TRUE,AK335+0.5,"")</f>
        <v/>
      </c>
      <c r="AL336" s="25" t="str">
        <f t="shared" si="50"/>
        <v/>
      </c>
      <c r="AN336" s="25" t="e">
        <f t="shared" ca="1" si="52"/>
        <v>#VALUE!</v>
      </c>
      <c r="AO336" s="25" t="str">
        <f t="shared" ca="1" si="53"/>
        <v/>
      </c>
      <c r="AP336" s="25" t="str">
        <f t="shared" ca="1" si="54"/>
        <v/>
      </c>
      <c r="AU336" s="25" t="str">
        <f t="shared" ca="1" si="55"/>
        <v/>
      </c>
      <c r="BU336" s="4">
        <v>167</v>
      </c>
      <c r="BV336" s="4">
        <f t="shared" si="51"/>
        <v>13.4</v>
      </c>
    </row>
    <row r="337" spans="37:74" hidden="1" x14ac:dyDescent="0.25">
      <c r="AK337" s="24" t="str">
        <f>IF(AND($D$15&lt;&gt;"",MAX($AK$9:AK336)&lt;$D$15)=TRUE,AK336+0.5,"")</f>
        <v/>
      </c>
      <c r="AL337" s="25" t="str">
        <f t="shared" si="50"/>
        <v/>
      </c>
      <c r="AN337" s="25" t="e">
        <f t="shared" ca="1" si="52"/>
        <v>#VALUE!</v>
      </c>
      <c r="AO337" s="25" t="str">
        <f t="shared" ca="1" si="53"/>
        <v/>
      </c>
      <c r="AP337" s="25" t="str">
        <f t="shared" ca="1" si="54"/>
        <v/>
      </c>
      <c r="AU337" s="25" t="str">
        <f t="shared" ca="1" si="55"/>
        <v/>
      </c>
      <c r="BU337" s="4">
        <v>167.5</v>
      </c>
      <c r="BV337" s="4">
        <f t="shared" si="51"/>
        <v>13.5</v>
      </c>
    </row>
    <row r="338" spans="37:74" hidden="1" x14ac:dyDescent="0.25">
      <c r="AK338" s="24" t="str">
        <f>IF(AND($D$15&lt;&gt;"",MAX($AK$9:AK337)&lt;$D$15)=TRUE,AK337+0.5,"")</f>
        <v/>
      </c>
      <c r="AL338" s="25" t="str">
        <f t="shared" si="50"/>
        <v/>
      </c>
      <c r="AN338" s="25" t="e">
        <f t="shared" ca="1" si="52"/>
        <v>#VALUE!</v>
      </c>
      <c r="AO338" s="25" t="str">
        <f t="shared" ca="1" si="53"/>
        <v/>
      </c>
      <c r="AP338" s="25" t="str">
        <f t="shared" ca="1" si="54"/>
        <v/>
      </c>
      <c r="AU338" s="25" t="str">
        <f t="shared" ca="1" si="55"/>
        <v/>
      </c>
      <c r="BU338" s="4">
        <v>168</v>
      </c>
      <c r="BV338" s="4">
        <f t="shared" si="51"/>
        <v>13.5</v>
      </c>
    </row>
    <row r="339" spans="37:74" hidden="1" x14ac:dyDescent="0.25">
      <c r="AK339" s="24" t="str">
        <f>IF(AND($D$15&lt;&gt;"",MAX($AK$9:AK338)&lt;$D$15)=TRUE,AK338+0.5,"")</f>
        <v/>
      </c>
      <c r="AL339" s="25" t="str">
        <f t="shared" si="50"/>
        <v/>
      </c>
      <c r="AN339" s="25" t="e">
        <f t="shared" ca="1" si="52"/>
        <v>#VALUE!</v>
      </c>
      <c r="AO339" s="25" t="str">
        <f t="shared" ca="1" si="53"/>
        <v/>
      </c>
      <c r="AP339" s="25" t="str">
        <f t="shared" ca="1" si="54"/>
        <v/>
      </c>
      <c r="AU339" s="25" t="str">
        <f t="shared" ca="1" si="55"/>
        <v/>
      </c>
      <c r="BU339" s="4">
        <v>168.5</v>
      </c>
      <c r="BV339" s="4">
        <f t="shared" si="51"/>
        <v>13.5</v>
      </c>
    </row>
    <row r="340" spans="37:74" hidden="1" x14ac:dyDescent="0.25">
      <c r="AK340" s="24" t="str">
        <f>IF(AND($D$15&lt;&gt;"",MAX($AK$9:AK339)&lt;$D$15)=TRUE,AK339+0.5,"")</f>
        <v/>
      </c>
      <c r="AL340" s="25" t="str">
        <f t="shared" si="50"/>
        <v/>
      </c>
      <c r="AN340" s="25" t="e">
        <f t="shared" ca="1" si="52"/>
        <v>#VALUE!</v>
      </c>
      <c r="AO340" s="25" t="str">
        <f t="shared" ca="1" si="53"/>
        <v/>
      </c>
      <c r="AP340" s="25" t="str">
        <f t="shared" ca="1" si="54"/>
        <v/>
      </c>
      <c r="AU340" s="25" t="str">
        <f t="shared" ca="1" si="55"/>
        <v/>
      </c>
      <c r="BU340" s="4">
        <v>169</v>
      </c>
      <c r="BV340" s="4">
        <f t="shared" si="51"/>
        <v>13.6</v>
      </c>
    </row>
    <row r="341" spans="37:74" hidden="1" x14ac:dyDescent="0.25">
      <c r="AK341" s="24" t="str">
        <f>IF(AND($D$15&lt;&gt;"",MAX($AK$9:AK340)&lt;$D$15)=TRUE,AK340+0.5,"")</f>
        <v/>
      </c>
      <c r="AL341" s="25" t="str">
        <f t="shared" ref="AL341:AL404" si="56">IF(AK341&lt;=$D$15,IF($D$17=$AZ$9,AO341,IF($D$17=$AZ$10,AN341,IF($D$17=$AZ$11,AU341,""))),"")</f>
        <v/>
      </c>
      <c r="AN341" s="25" t="e">
        <f t="shared" ca="1" si="52"/>
        <v>#VALUE!</v>
      </c>
      <c r="AO341" s="25" t="str">
        <f t="shared" ca="1" si="53"/>
        <v/>
      </c>
      <c r="AP341" s="25" t="str">
        <f t="shared" ca="1" si="54"/>
        <v/>
      </c>
      <c r="AU341" s="25" t="str">
        <f t="shared" ca="1" si="55"/>
        <v/>
      </c>
      <c r="BU341" s="4">
        <v>169.5</v>
      </c>
      <c r="BV341" s="4">
        <f t="shared" si="51"/>
        <v>13.6</v>
      </c>
    </row>
    <row r="342" spans="37:74" hidden="1" x14ac:dyDescent="0.25">
      <c r="AK342" s="24" t="str">
        <f>IF(AND($D$15&lt;&gt;"",MAX($AK$9:AK341)&lt;$D$15)=TRUE,AK341+0.5,"")</f>
        <v/>
      </c>
      <c r="AL342" s="25" t="str">
        <f t="shared" si="56"/>
        <v/>
      </c>
      <c r="AN342" s="25" t="e">
        <f t="shared" ca="1" si="52"/>
        <v>#VALUE!</v>
      </c>
      <c r="AO342" s="25" t="str">
        <f t="shared" ca="1" si="53"/>
        <v/>
      </c>
      <c r="AP342" s="25" t="str">
        <f t="shared" ca="1" si="54"/>
        <v/>
      </c>
      <c r="AU342" s="25" t="str">
        <f t="shared" ca="1" si="55"/>
        <v/>
      </c>
      <c r="BU342" s="4">
        <v>170</v>
      </c>
      <c r="BV342" s="4">
        <f t="shared" si="51"/>
        <v>13.7</v>
      </c>
    </row>
    <row r="343" spans="37:74" hidden="1" x14ac:dyDescent="0.25">
      <c r="AK343" s="24" t="str">
        <f>IF(AND($D$15&lt;&gt;"",MAX($AK$9:AK342)&lt;$D$15)=TRUE,AK342+0.5,"")</f>
        <v/>
      </c>
      <c r="AL343" s="25" t="str">
        <f t="shared" si="56"/>
        <v/>
      </c>
      <c r="AN343" s="25" t="e">
        <f t="shared" ca="1" si="52"/>
        <v>#VALUE!</v>
      </c>
      <c r="AO343" s="25" t="str">
        <f t="shared" ca="1" si="53"/>
        <v/>
      </c>
      <c r="AP343" s="25" t="str">
        <f t="shared" ca="1" si="54"/>
        <v/>
      </c>
      <c r="AU343" s="25" t="str">
        <f t="shared" ca="1" si="55"/>
        <v/>
      </c>
      <c r="BU343" s="4">
        <v>170.5</v>
      </c>
      <c r="BV343" s="4">
        <f t="shared" si="51"/>
        <v>13.7</v>
      </c>
    </row>
    <row r="344" spans="37:74" hidden="1" x14ac:dyDescent="0.25">
      <c r="AK344" s="24" t="str">
        <f>IF(AND($D$15&lt;&gt;"",MAX($AK$9:AK343)&lt;$D$15)=TRUE,AK343+0.5,"")</f>
        <v/>
      </c>
      <c r="AL344" s="25" t="str">
        <f t="shared" si="56"/>
        <v/>
      </c>
      <c r="AN344" s="25" t="e">
        <f t="shared" ca="1" si="52"/>
        <v>#VALUE!</v>
      </c>
      <c r="AO344" s="25" t="str">
        <f t="shared" ca="1" si="53"/>
        <v/>
      </c>
      <c r="AP344" s="25" t="str">
        <f t="shared" ca="1" si="54"/>
        <v/>
      </c>
      <c r="AU344" s="25" t="str">
        <f t="shared" ca="1" si="55"/>
        <v/>
      </c>
      <c r="BU344" s="4">
        <v>171</v>
      </c>
      <c r="BV344" s="4">
        <f t="shared" si="51"/>
        <v>13.8</v>
      </c>
    </row>
    <row r="345" spans="37:74" hidden="1" x14ac:dyDescent="0.25">
      <c r="AK345" s="24" t="str">
        <f>IF(AND($D$15&lt;&gt;"",MAX($AK$9:AK344)&lt;$D$15)=TRUE,AK344+0.5,"")</f>
        <v/>
      </c>
      <c r="AL345" s="25" t="str">
        <f t="shared" si="56"/>
        <v/>
      </c>
      <c r="AN345" s="25" t="e">
        <f t="shared" ca="1" si="52"/>
        <v>#VALUE!</v>
      </c>
      <c r="AO345" s="25" t="str">
        <f t="shared" ca="1" si="53"/>
        <v/>
      </c>
      <c r="AP345" s="25" t="str">
        <f t="shared" ca="1" si="54"/>
        <v/>
      </c>
      <c r="AU345" s="25" t="str">
        <f t="shared" ca="1" si="55"/>
        <v/>
      </c>
      <c r="BU345" s="4">
        <v>171.5</v>
      </c>
      <c r="BV345" s="4">
        <f t="shared" si="51"/>
        <v>13.8</v>
      </c>
    </row>
    <row r="346" spans="37:74" hidden="1" x14ac:dyDescent="0.25">
      <c r="AK346" s="24" t="str">
        <f>IF(AND($D$15&lt;&gt;"",MAX($AK$9:AK345)&lt;$D$15)=TRUE,AK345+0.5,"")</f>
        <v/>
      </c>
      <c r="AL346" s="25" t="str">
        <f t="shared" si="56"/>
        <v/>
      </c>
      <c r="AN346" s="25" t="e">
        <f t="shared" ca="1" si="52"/>
        <v>#VALUE!</v>
      </c>
      <c r="AO346" s="25" t="str">
        <f t="shared" ca="1" si="53"/>
        <v/>
      </c>
      <c r="AP346" s="25" t="str">
        <f t="shared" ca="1" si="54"/>
        <v/>
      </c>
      <c r="AU346" s="25" t="str">
        <f t="shared" ca="1" si="55"/>
        <v/>
      </c>
      <c r="BU346" s="4">
        <v>172</v>
      </c>
      <c r="BV346" s="4">
        <f t="shared" si="51"/>
        <v>13.8</v>
      </c>
    </row>
    <row r="347" spans="37:74" hidden="1" x14ac:dyDescent="0.25">
      <c r="AK347" s="24" t="str">
        <f>IF(AND($D$15&lt;&gt;"",MAX($AK$9:AK346)&lt;$D$15)=TRUE,AK346+0.5,"")</f>
        <v/>
      </c>
      <c r="AL347" s="25" t="str">
        <f t="shared" si="56"/>
        <v/>
      </c>
      <c r="AN347" s="25" t="e">
        <f t="shared" ca="1" si="52"/>
        <v>#VALUE!</v>
      </c>
      <c r="AO347" s="25" t="str">
        <f t="shared" ca="1" si="53"/>
        <v/>
      </c>
      <c r="AP347" s="25" t="str">
        <f t="shared" ca="1" si="54"/>
        <v/>
      </c>
      <c r="AU347" s="25" t="str">
        <f t="shared" ca="1" si="55"/>
        <v/>
      </c>
      <c r="BU347" s="4">
        <v>172.5</v>
      </c>
      <c r="BV347" s="4">
        <f t="shared" si="51"/>
        <v>13.9</v>
      </c>
    </row>
    <row r="348" spans="37:74" hidden="1" x14ac:dyDescent="0.25">
      <c r="AK348" s="24" t="str">
        <f>IF(AND($D$15&lt;&gt;"",MAX($AK$9:AK347)&lt;$D$15)=TRUE,AK347+0.5,"")</f>
        <v/>
      </c>
      <c r="AL348" s="25" t="str">
        <f t="shared" si="56"/>
        <v/>
      </c>
      <c r="AN348" s="25" t="e">
        <f t="shared" ca="1" si="52"/>
        <v>#VALUE!</v>
      </c>
      <c r="AO348" s="25" t="str">
        <f t="shared" ca="1" si="53"/>
        <v/>
      </c>
      <c r="AP348" s="25" t="str">
        <f t="shared" ca="1" si="54"/>
        <v/>
      </c>
      <c r="AU348" s="25" t="str">
        <f t="shared" ca="1" si="55"/>
        <v/>
      </c>
      <c r="BU348" s="4">
        <v>173</v>
      </c>
      <c r="BV348" s="4">
        <f t="shared" si="51"/>
        <v>13.9</v>
      </c>
    </row>
    <row r="349" spans="37:74" hidden="1" x14ac:dyDescent="0.25">
      <c r="AK349" s="24" t="str">
        <f>IF(AND($D$15&lt;&gt;"",MAX($AK$9:AK348)&lt;$D$15)=TRUE,AK348+0.5,"")</f>
        <v/>
      </c>
      <c r="AL349" s="25" t="str">
        <f t="shared" si="56"/>
        <v/>
      </c>
      <c r="AN349" s="25" t="e">
        <f t="shared" ca="1" si="52"/>
        <v>#VALUE!</v>
      </c>
      <c r="AO349" s="25" t="str">
        <f t="shared" ca="1" si="53"/>
        <v/>
      </c>
      <c r="AP349" s="25" t="str">
        <f t="shared" ca="1" si="54"/>
        <v/>
      </c>
      <c r="AU349" s="25" t="str">
        <f t="shared" ca="1" si="55"/>
        <v/>
      </c>
      <c r="BU349" s="4">
        <v>173.5</v>
      </c>
      <c r="BV349" s="4">
        <f t="shared" si="51"/>
        <v>14</v>
      </c>
    </row>
    <row r="350" spans="37:74" hidden="1" x14ac:dyDescent="0.25">
      <c r="AK350" s="24" t="str">
        <f>IF(AND($D$15&lt;&gt;"",MAX($AK$9:AK349)&lt;$D$15)=TRUE,AK349+0.5,"")</f>
        <v/>
      </c>
      <c r="AL350" s="25" t="str">
        <f t="shared" si="56"/>
        <v/>
      </c>
      <c r="AN350" s="25" t="e">
        <f t="shared" ca="1" si="52"/>
        <v>#VALUE!</v>
      </c>
      <c r="AO350" s="25" t="str">
        <f t="shared" ca="1" si="53"/>
        <v/>
      </c>
      <c r="AP350" s="25" t="str">
        <f t="shared" ca="1" si="54"/>
        <v/>
      </c>
      <c r="AU350" s="25" t="str">
        <f t="shared" ca="1" si="55"/>
        <v/>
      </c>
      <c r="BU350" s="4">
        <v>174</v>
      </c>
      <c r="BV350" s="4">
        <f t="shared" si="51"/>
        <v>14</v>
      </c>
    </row>
    <row r="351" spans="37:74" hidden="1" x14ac:dyDescent="0.25">
      <c r="AK351" s="24" t="str">
        <f>IF(AND($D$15&lt;&gt;"",MAX($AK$9:AK350)&lt;$D$15)=TRUE,AK350+0.5,"")</f>
        <v/>
      </c>
      <c r="AL351" s="25" t="str">
        <f t="shared" si="56"/>
        <v/>
      </c>
      <c r="AN351" s="25" t="e">
        <f t="shared" ca="1" si="52"/>
        <v>#VALUE!</v>
      </c>
      <c r="AO351" s="25" t="str">
        <f t="shared" ca="1" si="53"/>
        <v/>
      </c>
      <c r="AP351" s="25" t="str">
        <f t="shared" ca="1" si="54"/>
        <v/>
      </c>
      <c r="AU351" s="25" t="str">
        <f t="shared" ca="1" si="55"/>
        <v/>
      </c>
      <c r="BU351" s="4">
        <v>174.5</v>
      </c>
      <c r="BV351" s="4">
        <f t="shared" si="51"/>
        <v>14</v>
      </c>
    </row>
    <row r="352" spans="37:74" hidden="1" x14ac:dyDescent="0.25">
      <c r="AK352" s="24" t="str">
        <f>IF(AND($D$15&lt;&gt;"",MAX($AK$9:AK351)&lt;$D$15)=TRUE,AK351+0.5,"")</f>
        <v/>
      </c>
      <c r="AL352" s="25" t="str">
        <f t="shared" si="56"/>
        <v/>
      </c>
      <c r="AN352" s="25" t="e">
        <f t="shared" ca="1" si="52"/>
        <v>#VALUE!</v>
      </c>
      <c r="AO352" s="25" t="str">
        <f t="shared" ca="1" si="53"/>
        <v/>
      </c>
      <c r="AP352" s="25" t="str">
        <f t="shared" ca="1" si="54"/>
        <v/>
      </c>
      <c r="AU352" s="25" t="str">
        <f t="shared" ca="1" si="55"/>
        <v/>
      </c>
      <c r="BU352" s="4">
        <v>175</v>
      </c>
      <c r="BV352" s="4">
        <f t="shared" si="51"/>
        <v>14.1</v>
      </c>
    </row>
    <row r="353" spans="37:74" hidden="1" x14ac:dyDescent="0.25">
      <c r="AK353" s="24" t="str">
        <f>IF(AND($D$15&lt;&gt;"",MAX($AK$9:AK352)&lt;$D$15)=TRUE,AK352+0.5,"")</f>
        <v/>
      </c>
      <c r="AL353" s="25" t="str">
        <f t="shared" si="56"/>
        <v/>
      </c>
      <c r="AN353" s="25" t="e">
        <f t="shared" ca="1" si="52"/>
        <v>#VALUE!</v>
      </c>
      <c r="AO353" s="25" t="str">
        <f t="shared" ca="1" si="53"/>
        <v/>
      </c>
      <c r="AP353" s="25" t="str">
        <f t="shared" ca="1" si="54"/>
        <v/>
      </c>
      <c r="AU353" s="25" t="str">
        <f t="shared" ca="1" si="55"/>
        <v/>
      </c>
      <c r="BU353" s="4">
        <v>175.5</v>
      </c>
      <c r="BV353" s="4">
        <f t="shared" si="51"/>
        <v>14.1</v>
      </c>
    </row>
    <row r="354" spans="37:74" hidden="1" x14ac:dyDescent="0.25">
      <c r="AK354" s="24" t="str">
        <f>IF(AND($D$15&lt;&gt;"",MAX($AK$9:AK353)&lt;$D$15)=TRUE,AK353+0.5,"")</f>
        <v/>
      </c>
      <c r="AL354" s="25" t="str">
        <f t="shared" si="56"/>
        <v/>
      </c>
      <c r="AN354" s="25" t="e">
        <f t="shared" ca="1" si="52"/>
        <v>#VALUE!</v>
      </c>
      <c r="AO354" s="25" t="str">
        <f t="shared" ca="1" si="53"/>
        <v/>
      </c>
      <c r="AP354" s="25" t="str">
        <f t="shared" ca="1" si="54"/>
        <v/>
      </c>
      <c r="AU354" s="25" t="str">
        <f t="shared" ca="1" si="55"/>
        <v/>
      </c>
      <c r="BU354" s="4">
        <v>176</v>
      </c>
      <c r="BV354" s="4">
        <f t="shared" si="51"/>
        <v>14.2</v>
      </c>
    </row>
    <row r="355" spans="37:74" hidden="1" x14ac:dyDescent="0.25">
      <c r="AK355" s="24" t="str">
        <f>IF(AND($D$15&lt;&gt;"",MAX($AK$9:AK354)&lt;$D$15)=TRUE,AK354+0.5,"")</f>
        <v/>
      </c>
      <c r="AL355" s="25" t="str">
        <f t="shared" si="56"/>
        <v/>
      </c>
      <c r="AN355" s="25" t="e">
        <f t="shared" ca="1" si="52"/>
        <v>#VALUE!</v>
      </c>
      <c r="AO355" s="25" t="str">
        <f t="shared" ca="1" si="53"/>
        <v/>
      </c>
      <c r="AP355" s="25" t="str">
        <f t="shared" ca="1" si="54"/>
        <v/>
      </c>
      <c r="AU355" s="25" t="str">
        <f t="shared" ca="1" si="55"/>
        <v/>
      </c>
      <c r="BU355" s="4">
        <v>176.5</v>
      </c>
      <c r="BV355" s="4">
        <f t="shared" si="51"/>
        <v>14.2</v>
      </c>
    </row>
    <row r="356" spans="37:74" hidden="1" x14ac:dyDescent="0.25">
      <c r="AK356" s="24" t="str">
        <f>IF(AND($D$15&lt;&gt;"",MAX($AK$9:AK355)&lt;$D$15)=TRUE,AK355+0.5,"")</f>
        <v/>
      </c>
      <c r="AL356" s="25" t="str">
        <f t="shared" si="56"/>
        <v/>
      </c>
      <c r="AN356" s="25" t="e">
        <f t="shared" ca="1" si="52"/>
        <v>#VALUE!</v>
      </c>
      <c r="AO356" s="25" t="str">
        <f t="shared" ca="1" si="53"/>
        <v/>
      </c>
      <c r="AP356" s="25" t="str">
        <f t="shared" ca="1" si="54"/>
        <v/>
      </c>
      <c r="AU356" s="25" t="str">
        <f t="shared" ca="1" si="55"/>
        <v/>
      </c>
      <c r="BU356" s="4">
        <v>177</v>
      </c>
      <c r="BV356" s="4">
        <f t="shared" si="51"/>
        <v>14.3</v>
      </c>
    </row>
    <row r="357" spans="37:74" hidden="1" x14ac:dyDescent="0.25">
      <c r="AK357" s="24" t="str">
        <f>IF(AND($D$15&lt;&gt;"",MAX($AK$9:AK356)&lt;$D$15)=TRUE,AK356+0.5,"")</f>
        <v/>
      </c>
      <c r="AL357" s="25" t="str">
        <f t="shared" si="56"/>
        <v/>
      </c>
      <c r="AN357" s="25" t="e">
        <f t="shared" ca="1" si="52"/>
        <v>#VALUE!</v>
      </c>
      <c r="AO357" s="25" t="str">
        <f t="shared" ca="1" si="53"/>
        <v/>
      </c>
      <c r="AP357" s="25" t="str">
        <f t="shared" ca="1" si="54"/>
        <v/>
      </c>
      <c r="AU357" s="25" t="str">
        <f t="shared" ca="1" si="55"/>
        <v/>
      </c>
      <c r="BU357" s="4">
        <v>177.5</v>
      </c>
      <c r="BV357" s="4">
        <f t="shared" si="51"/>
        <v>14.3</v>
      </c>
    </row>
    <row r="358" spans="37:74" hidden="1" x14ac:dyDescent="0.25">
      <c r="AK358" s="24" t="str">
        <f>IF(AND($D$15&lt;&gt;"",MAX($AK$9:AK357)&lt;$D$15)=TRUE,AK357+0.5,"")</f>
        <v/>
      </c>
      <c r="AL358" s="25" t="str">
        <f t="shared" si="56"/>
        <v/>
      </c>
      <c r="AN358" s="25" t="e">
        <f t="shared" ca="1" si="52"/>
        <v>#VALUE!</v>
      </c>
      <c r="AO358" s="25" t="str">
        <f t="shared" ca="1" si="53"/>
        <v/>
      </c>
      <c r="AP358" s="25" t="str">
        <f t="shared" ca="1" si="54"/>
        <v/>
      </c>
      <c r="AU358" s="25" t="str">
        <f t="shared" ca="1" si="55"/>
        <v/>
      </c>
      <c r="BU358" s="4">
        <v>178</v>
      </c>
      <c r="BV358" s="4">
        <f t="shared" si="51"/>
        <v>14.3</v>
      </c>
    </row>
    <row r="359" spans="37:74" hidden="1" x14ac:dyDescent="0.25">
      <c r="AK359" s="24" t="str">
        <f>IF(AND($D$15&lt;&gt;"",MAX($AK$9:AK358)&lt;$D$15)=TRUE,AK358+0.5,"")</f>
        <v/>
      </c>
      <c r="AL359" s="25" t="str">
        <f t="shared" si="56"/>
        <v/>
      </c>
      <c r="AN359" s="25" t="e">
        <f t="shared" ca="1" si="52"/>
        <v>#VALUE!</v>
      </c>
      <c r="AO359" s="25" t="str">
        <f t="shared" ca="1" si="53"/>
        <v/>
      </c>
      <c r="AP359" s="25" t="str">
        <f t="shared" ca="1" si="54"/>
        <v/>
      </c>
      <c r="AU359" s="25" t="str">
        <f t="shared" ca="1" si="55"/>
        <v/>
      </c>
      <c r="BU359" s="4">
        <v>178.5</v>
      </c>
      <c r="BV359" s="4">
        <f t="shared" si="51"/>
        <v>14.4</v>
      </c>
    </row>
    <row r="360" spans="37:74" hidden="1" x14ac:dyDescent="0.25">
      <c r="AK360" s="24" t="str">
        <f>IF(AND($D$15&lt;&gt;"",MAX($AK$9:AK359)&lt;$D$15)=TRUE,AK359+0.5,"")</f>
        <v/>
      </c>
      <c r="AL360" s="25" t="str">
        <f t="shared" si="56"/>
        <v/>
      </c>
      <c r="AN360" s="25" t="e">
        <f t="shared" ca="1" si="52"/>
        <v>#VALUE!</v>
      </c>
      <c r="AO360" s="25" t="str">
        <f t="shared" ca="1" si="53"/>
        <v/>
      </c>
      <c r="AP360" s="25" t="str">
        <f t="shared" ca="1" si="54"/>
        <v/>
      </c>
      <c r="AU360" s="25" t="str">
        <f t="shared" ca="1" si="55"/>
        <v/>
      </c>
      <c r="BU360" s="4">
        <v>179</v>
      </c>
      <c r="BV360" s="4">
        <f t="shared" si="51"/>
        <v>14.4</v>
      </c>
    </row>
    <row r="361" spans="37:74" hidden="1" x14ac:dyDescent="0.25">
      <c r="AK361" s="24" t="str">
        <f>IF(AND($D$15&lt;&gt;"",MAX($AK$9:AK360)&lt;$D$15)=TRUE,AK360+0.5,"")</f>
        <v/>
      </c>
      <c r="AL361" s="25" t="str">
        <f t="shared" si="56"/>
        <v/>
      </c>
      <c r="AN361" s="25" t="e">
        <f t="shared" ca="1" si="52"/>
        <v>#VALUE!</v>
      </c>
      <c r="AO361" s="25" t="str">
        <f t="shared" ca="1" si="53"/>
        <v/>
      </c>
      <c r="AP361" s="25" t="str">
        <f t="shared" ca="1" si="54"/>
        <v/>
      </c>
      <c r="AU361" s="25" t="str">
        <f t="shared" ca="1" si="55"/>
        <v/>
      </c>
      <c r="BU361" s="4">
        <v>179.5</v>
      </c>
      <c r="BV361" s="4">
        <f t="shared" si="51"/>
        <v>14.5</v>
      </c>
    </row>
    <row r="362" spans="37:74" hidden="1" x14ac:dyDescent="0.25">
      <c r="AK362" s="24" t="str">
        <f>IF(AND($D$15&lt;&gt;"",MAX($AK$9:AK361)&lt;$D$15)=TRUE,AK361+0.5,"")</f>
        <v/>
      </c>
      <c r="AL362" s="25" t="str">
        <f t="shared" si="56"/>
        <v/>
      </c>
      <c r="AN362" s="25" t="e">
        <f t="shared" ca="1" si="52"/>
        <v>#VALUE!</v>
      </c>
      <c r="AO362" s="25" t="str">
        <f t="shared" ca="1" si="53"/>
        <v/>
      </c>
      <c r="AP362" s="25" t="str">
        <f t="shared" ca="1" si="54"/>
        <v/>
      </c>
      <c r="AU362" s="25" t="str">
        <f t="shared" ca="1" si="55"/>
        <v/>
      </c>
      <c r="BU362" s="4">
        <v>180</v>
      </c>
      <c r="BV362" s="4">
        <f t="shared" si="51"/>
        <v>14.5</v>
      </c>
    </row>
    <row r="363" spans="37:74" hidden="1" x14ac:dyDescent="0.25">
      <c r="AK363" s="24" t="str">
        <f>IF(AND($D$15&lt;&gt;"",MAX($AK$9:AK362)&lt;$D$15)=TRUE,AK362+0.5,"")</f>
        <v/>
      </c>
      <c r="AL363" s="25" t="str">
        <f t="shared" si="56"/>
        <v/>
      </c>
      <c r="AN363" s="25" t="e">
        <f t="shared" ca="1" si="52"/>
        <v>#VALUE!</v>
      </c>
      <c r="AO363" s="25" t="str">
        <f t="shared" ca="1" si="53"/>
        <v/>
      </c>
      <c r="AP363" s="25" t="str">
        <f t="shared" ca="1" si="54"/>
        <v/>
      </c>
      <c r="AU363" s="25" t="str">
        <f t="shared" ca="1" si="55"/>
        <v/>
      </c>
      <c r="BU363" s="4">
        <v>180.5</v>
      </c>
      <c r="BV363" s="4">
        <f t="shared" si="51"/>
        <v>14.5</v>
      </c>
    </row>
    <row r="364" spans="37:74" hidden="1" x14ac:dyDescent="0.25">
      <c r="AK364" s="24" t="str">
        <f>IF(AND($D$15&lt;&gt;"",MAX($AK$9:AK363)&lt;$D$15)=TRUE,AK363+0.5,"")</f>
        <v/>
      </c>
      <c r="AL364" s="25" t="str">
        <f t="shared" si="56"/>
        <v/>
      </c>
      <c r="AN364" s="25" t="e">
        <f t="shared" ca="1" si="52"/>
        <v>#VALUE!</v>
      </c>
      <c r="AO364" s="25" t="str">
        <f t="shared" ca="1" si="53"/>
        <v/>
      </c>
      <c r="AP364" s="25" t="str">
        <f t="shared" ca="1" si="54"/>
        <v/>
      </c>
      <c r="AU364" s="25" t="str">
        <f t="shared" ca="1" si="55"/>
        <v/>
      </c>
      <c r="BU364" s="4">
        <v>181</v>
      </c>
      <c r="BV364" s="4">
        <f t="shared" si="51"/>
        <v>14.6</v>
      </c>
    </row>
    <row r="365" spans="37:74" hidden="1" x14ac:dyDescent="0.25">
      <c r="AK365" s="24" t="str">
        <f>IF(AND($D$15&lt;&gt;"",MAX($AK$9:AK364)&lt;$D$15)=TRUE,AK364+0.5,"")</f>
        <v/>
      </c>
      <c r="AL365" s="25" t="str">
        <f t="shared" si="56"/>
        <v/>
      </c>
      <c r="AN365" s="25" t="e">
        <f t="shared" ca="1" si="52"/>
        <v>#VALUE!</v>
      </c>
      <c r="AO365" s="25" t="str">
        <f t="shared" ca="1" si="53"/>
        <v/>
      </c>
      <c r="AP365" s="25" t="str">
        <f t="shared" ca="1" si="54"/>
        <v/>
      </c>
      <c r="AU365" s="25" t="str">
        <f t="shared" ca="1" si="55"/>
        <v/>
      </c>
      <c r="BU365" s="4">
        <v>181.5</v>
      </c>
      <c r="BV365" s="4">
        <f t="shared" si="51"/>
        <v>14.6</v>
      </c>
    </row>
    <row r="366" spans="37:74" hidden="1" x14ac:dyDescent="0.25">
      <c r="AK366" s="24" t="str">
        <f>IF(AND($D$15&lt;&gt;"",MAX($AK$9:AK365)&lt;$D$15)=TRUE,AK365+0.5,"")</f>
        <v/>
      </c>
      <c r="AL366" s="25" t="str">
        <f t="shared" si="56"/>
        <v/>
      </c>
      <c r="AN366" s="25" t="e">
        <f t="shared" ca="1" si="52"/>
        <v>#VALUE!</v>
      </c>
      <c r="AO366" s="25" t="str">
        <f t="shared" ca="1" si="53"/>
        <v/>
      </c>
      <c r="AP366" s="25" t="str">
        <f t="shared" ca="1" si="54"/>
        <v/>
      </c>
      <c r="AU366" s="25" t="str">
        <f t="shared" ca="1" si="55"/>
        <v/>
      </c>
      <c r="BU366" s="4">
        <v>182</v>
      </c>
      <c r="BV366" s="4">
        <f t="shared" si="51"/>
        <v>14.7</v>
      </c>
    </row>
    <row r="367" spans="37:74" hidden="1" x14ac:dyDescent="0.25">
      <c r="AK367" s="24" t="str">
        <f>IF(AND($D$15&lt;&gt;"",MAX($AK$9:AK366)&lt;$D$15)=TRUE,AK366+0.5,"")</f>
        <v/>
      </c>
      <c r="AL367" s="25" t="str">
        <f t="shared" si="56"/>
        <v/>
      </c>
      <c r="AN367" s="25" t="e">
        <f t="shared" ca="1" si="52"/>
        <v>#VALUE!</v>
      </c>
      <c r="AO367" s="25" t="str">
        <f t="shared" ca="1" si="53"/>
        <v/>
      </c>
      <c r="AP367" s="25" t="str">
        <f t="shared" ca="1" si="54"/>
        <v/>
      </c>
      <c r="AU367" s="25" t="str">
        <f t="shared" ca="1" si="55"/>
        <v/>
      </c>
      <c r="BU367" s="4">
        <v>182.5</v>
      </c>
      <c r="BV367" s="4">
        <f t="shared" si="51"/>
        <v>14.7</v>
      </c>
    </row>
    <row r="368" spans="37:74" hidden="1" x14ac:dyDescent="0.25">
      <c r="AK368" s="24" t="str">
        <f>IF(AND($D$15&lt;&gt;"",MAX($AK$9:AK367)&lt;$D$15)=TRUE,AK367+0.5,"")</f>
        <v/>
      </c>
      <c r="AL368" s="25" t="str">
        <f t="shared" si="56"/>
        <v/>
      </c>
      <c r="AN368" s="25" t="e">
        <f t="shared" ca="1" si="52"/>
        <v>#VALUE!</v>
      </c>
      <c r="AO368" s="25" t="str">
        <f t="shared" ca="1" si="53"/>
        <v/>
      </c>
      <c r="AP368" s="25" t="str">
        <f t="shared" ca="1" si="54"/>
        <v/>
      </c>
      <c r="AU368" s="25" t="str">
        <f t="shared" ca="1" si="55"/>
        <v/>
      </c>
      <c r="BU368" s="4">
        <v>183</v>
      </c>
      <c r="BV368" s="4">
        <f t="shared" si="51"/>
        <v>14.8</v>
      </c>
    </row>
    <row r="369" spans="37:74" hidden="1" x14ac:dyDescent="0.25">
      <c r="AK369" s="24" t="str">
        <f>IF(AND($D$15&lt;&gt;"",MAX($AK$9:AK368)&lt;$D$15)=TRUE,AK368+0.5,"")</f>
        <v/>
      </c>
      <c r="AL369" s="25" t="str">
        <f t="shared" si="56"/>
        <v/>
      </c>
      <c r="AN369" s="25" t="e">
        <f t="shared" ca="1" si="52"/>
        <v>#VALUE!</v>
      </c>
      <c r="AO369" s="25" t="str">
        <f t="shared" ca="1" si="53"/>
        <v/>
      </c>
      <c r="AP369" s="25" t="str">
        <f t="shared" ca="1" si="54"/>
        <v/>
      </c>
      <c r="AU369" s="25" t="str">
        <f t="shared" ca="1" si="55"/>
        <v/>
      </c>
      <c r="BU369" s="4">
        <v>183.5</v>
      </c>
      <c r="BV369" s="4">
        <f t="shared" si="51"/>
        <v>14.8</v>
      </c>
    </row>
    <row r="370" spans="37:74" hidden="1" x14ac:dyDescent="0.25">
      <c r="AK370" s="24" t="str">
        <f>IF(AND($D$15&lt;&gt;"",MAX($AK$9:AK369)&lt;$D$15)=TRUE,AK369+0.5,"")</f>
        <v/>
      </c>
      <c r="AL370" s="25" t="str">
        <f t="shared" si="56"/>
        <v/>
      </c>
      <c r="AN370" s="25" t="e">
        <f t="shared" ca="1" si="52"/>
        <v>#VALUE!</v>
      </c>
      <c r="AO370" s="25" t="str">
        <f t="shared" ca="1" si="53"/>
        <v/>
      </c>
      <c r="AP370" s="25" t="str">
        <f t="shared" ca="1" si="54"/>
        <v/>
      </c>
      <c r="AU370" s="25" t="str">
        <f t="shared" ca="1" si="55"/>
        <v/>
      </c>
      <c r="BU370" s="4">
        <v>184</v>
      </c>
      <c r="BV370" s="4">
        <f t="shared" si="51"/>
        <v>14.8</v>
      </c>
    </row>
    <row r="371" spans="37:74" hidden="1" x14ac:dyDescent="0.25">
      <c r="AK371" s="24" t="str">
        <f>IF(AND($D$15&lt;&gt;"",MAX($AK$9:AK370)&lt;$D$15)=TRUE,AK370+0.5,"")</f>
        <v/>
      </c>
      <c r="AL371" s="25" t="str">
        <f t="shared" si="56"/>
        <v/>
      </c>
      <c r="AN371" s="25" t="e">
        <f t="shared" ca="1" si="52"/>
        <v>#VALUE!</v>
      </c>
      <c r="AO371" s="25" t="str">
        <f t="shared" ca="1" si="53"/>
        <v/>
      </c>
      <c r="AP371" s="25" t="str">
        <f t="shared" ca="1" si="54"/>
        <v/>
      </c>
      <c r="AU371" s="25" t="str">
        <f t="shared" ca="1" si="55"/>
        <v/>
      </c>
      <c r="BU371" s="4">
        <v>184.5</v>
      </c>
      <c r="BV371" s="4">
        <f t="shared" si="51"/>
        <v>14.9</v>
      </c>
    </row>
    <row r="372" spans="37:74" hidden="1" x14ac:dyDescent="0.25">
      <c r="AK372" s="24" t="str">
        <f>IF(AND($D$15&lt;&gt;"",MAX($AK$9:AK371)&lt;$D$15)=TRUE,AK371+0.5,"")</f>
        <v/>
      </c>
      <c r="AL372" s="25" t="str">
        <f t="shared" si="56"/>
        <v/>
      </c>
      <c r="AN372" s="25" t="e">
        <f t="shared" ca="1" si="52"/>
        <v>#VALUE!</v>
      </c>
      <c r="AO372" s="25" t="str">
        <f t="shared" ca="1" si="53"/>
        <v/>
      </c>
      <c r="AP372" s="25" t="str">
        <f t="shared" ca="1" si="54"/>
        <v/>
      </c>
      <c r="AU372" s="25" t="str">
        <f t="shared" ca="1" si="55"/>
        <v/>
      </c>
      <c r="BU372" s="4">
        <v>185</v>
      </c>
      <c r="BV372" s="4">
        <f t="shared" si="51"/>
        <v>14.9</v>
      </c>
    </row>
    <row r="373" spans="37:74" hidden="1" x14ac:dyDescent="0.25">
      <c r="AK373" s="24" t="str">
        <f>IF(AND($D$15&lt;&gt;"",MAX($AK$9:AK372)&lt;$D$15)=TRUE,AK372+0.5,"")</f>
        <v/>
      </c>
      <c r="AL373" s="25" t="str">
        <f t="shared" si="56"/>
        <v/>
      </c>
      <c r="AN373" s="25" t="e">
        <f t="shared" ca="1" si="52"/>
        <v>#VALUE!</v>
      </c>
      <c r="AO373" s="25" t="str">
        <f t="shared" ca="1" si="53"/>
        <v/>
      </c>
      <c r="AP373" s="25" t="str">
        <f t="shared" ca="1" si="54"/>
        <v/>
      </c>
      <c r="AU373" s="25" t="str">
        <f t="shared" ca="1" si="55"/>
        <v/>
      </c>
      <c r="BU373" s="4">
        <v>185.5</v>
      </c>
      <c r="BV373" s="4">
        <f t="shared" si="51"/>
        <v>15</v>
      </c>
    </row>
    <row r="374" spans="37:74" hidden="1" x14ac:dyDescent="0.25">
      <c r="AK374" s="24" t="str">
        <f>IF(AND($D$15&lt;&gt;"",MAX($AK$9:AK373)&lt;$D$15)=TRUE,AK373+0.5,"")</f>
        <v/>
      </c>
      <c r="AL374" s="25" t="str">
        <f t="shared" si="56"/>
        <v/>
      </c>
      <c r="AN374" s="25" t="e">
        <f t="shared" ca="1" si="52"/>
        <v>#VALUE!</v>
      </c>
      <c r="AO374" s="25" t="str">
        <f t="shared" ca="1" si="53"/>
        <v/>
      </c>
      <c r="AP374" s="25" t="str">
        <f t="shared" ca="1" si="54"/>
        <v/>
      </c>
      <c r="AU374" s="25" t="str">
        <f t="shared" ca="1" si="55"/>
        <v/>
      </c>
      <c r="BU374" s="4">
        <v>186</v>
      </c>
      <c r="BV374" s="4">
        <f t="shared" si="51"/>
        <v>15</v>
      </c>
    </row>
    <row r="375" spans="37:74" hidden="1" x14ac:dyDescent="0.25">
      <c r="AK375" s="24" t="str">
        <f>IF(AND($D$15&lt;&gt;"",MAX($AK$9:AK374)&lt;$D$15)=TRUE,AK374+0.5,"")</f>
        <v/>
      </c>
      <c r="AL375" s="25" t="str">
        <f t="shared" si="56"/>
        <v/>
      </c>
      <c r="AN375" s="25" t="e">
        <f t="shared" ca="1" si="52"/>
        <v>#VALUE!</v>
      </c>
      <c r="AO375" s="25" t="str">
        <f t="shared" ca="1" si="53"/>
        <v/>
      </c>
      <c r="AP375" s="25" t="str">
        <f t="shared" ca="1" si="54"/>
        <v/>
      </c>
      <c r="AU375" s="25" t="str">
        <f t="shared" ca="1" si="55"/>
        <v/>
      </c>
      <c r="BU375" s="4">
        <v>186.5</v>
      </c>
      <c r="BV375" s="4">
        <f t="shared" si="51"/>
        <v>15</v>
      </c>
    </row>
    <row r="376" spans="37:74" hidden="1" x14ac:dyDescent="0.25">
      <c r="AK376" s="24" t="str">
        <f>IF(AND($D$15&lt;&gt;"",MAX($AK$9:AK375)&lt;$D$15)=TRUE,AK375+0.5,"")</f>
        <v/>
      </c>
      <c r="AL376" s="25" t="str">
        <f t="shared" si="56"/>
        <v/>
      </c>
      <c r="AN376" s="25" t="e">
        <f t="shared" ca="1" si="52"/>
        <v>#VALUE!</v>
      </c>
      <c r="AO376" s="25" t="str">
        <f t="shared" ca="1" si="53"/>
        <v/>
      </c>
      <c r="AP376" s="25" t="str">
        <f t="shared" ca="1" si="54"/>
        <v/>
      </c>
      <c r="AU376" s="25" t="str">
        <f t="shared" ca="1" si="55"/>
        <v/>
      </c>
      <c r="BU376" s="4">
        <v>187</v>
      </c>
      <c r="BV376" s="4">
        <f t="shared" si="51"/>
        <v>15.1</v>
      </c>
    </row>
    <row r="377" spans="37:74" hidden="1" x14ac:dyDescent="0.25">
      <c r="AK377" s="24" t="str">
        <f>IF(AND($D$15&lt;&gt;"",MAX($AK$9:AK376)&lt;$D$15)=TRUE,AK376+0.5,"")</f>
        <v/>
      </c>
      <c r="AL377" s="25" t="str">
        <f t="shared" si="56"/>
        <v/>
      </c>
      <c r="AN377" s="25" t="e">
        <f t="shared" ca="1" si="52"/>
        <v>#VALUE!</v>
      </c>
      <c r="AO377" s="25" t="str">
        <f t="shared" ca="1" si="53"/>
        <v/>
      </c>
      <c r="AP377" s="25" t="str">
        <f t="shared" ca="1" si="54"/>
        <v/>
      </c>
      <c r="AU377" s="25" t="str">
        <f t="shared" ca="1" si="55"/>
        <v/>
      </c>
      <c r="BU377" s="4">
        <v>187.5</v>
      </c>
      <c r="BV377" s="4">
        <f t="shared" si="51"/>
        <v>15.1</v>
      </c>
    </row>
    <row r="378" spans="37:74" hidden="1" x14ac:dyDescent="0.25">
      <c r="AK378" s="24" t="str">
        <f>IF(AND($D$15&lt;&gt;"",MAX($AK$9:AK377)&lt;$D$15)=TRUE,AK377+0.5,"")</f>
        <v/>
      </c>
      <c r="AL378" s="25" t="str">
        <f t="shared" si="56"/>
        <v/>
      </c>
      <c r="AN378" s="25" t="e">
        <f t="shared" ca="1" si="52"/>
        <v>#VALUE!</v>
      </c>
      <c r="AO378" s="25" t="str">
        <f t="shared" ca="1" si="53"/>
        <v/>
      </c>
      <c r="AP378" s="25" t="str">
        <f t="shared" ca="1" si="54"/>
        <v/>
      </c>
      <c r="AU378" s="25" t="str">
        <f t="shared" ca="1" si="55"/>
        <v/>
      </c>
      <c r="BU378" s="4">
        <v>188</v>
      </c>
      <c r="BV378" s="4">
        <f t="shared" si="51"/>
        <v>15.2</v>
      </c>
    </row>
    <row r="379" spans="37:74" hidden="1" x14ac:dyDescent="0.25">
      <c r="AK379" s="24" t="str">
        <f>IF(AND($D$15&lt;&gt;"",MAX($AK$9:AK378)&lt;$D$15)=TRUE,AK378+0.5,"")</f>
        <v/>
      </c>
      <c r="AL379" s="25" t="str">
        <f t="shared" si="56"/>
        <v/>
      </c>
      <c r="AN379" s="25" t="e">
        <f t="shared" ca="1" si="52"/>
        <v>#VALUE!</v>
      </c>
      <c r="AO379" s="25" t="str">
        <f t="shared" ca="1" si="53"/>
        <v/>
      </c>
      <c r="AP379" s="25" t="str">
        <f t="shared" ca="1" si="54"/>
        <v/>
      </c>
      <c r="AU379" s="25" t="str">
        <f t="shared" ca="1" si="55"/>
        <v/>
      </c>
      <c r="BU379" s="4">
        <v>188.5</v>
      </c>
      <c r="BV379" s="4">
        <f t="shared" si="51"/>
        <v>15.2</v>
      </c>
    </row>
    <row r="380" spans="37:74" hidden="1" x14ac:dyDescent="0.25">
      <c r="AK380" s="24" t="str">
        <f>IF(AND($D$15&lt;&gt;"",MAX($AK$9:AK379)&lt;$D$15)=TRUE,AK379+0.5,"")</f>
        <v/>
      </c>
      <c r="AL380" s="25" t="str">
        <f t="shared" si="56"/>
        <v/>
      </c>
      <c r="AN380" s="25" t="e">
        <f t="shared" ca="1" si="52"/>
        <v>#VALUE!</v>
      </c>
      <c r="AO380" s="25" t="str">
        <f t="shared" ca="1" si="53"/>
        <v/>
      </c>
      <c r="AP380" s="25" t="str">
        <f t="shared" ca="1" si="54"/>
        <v/>
      </c>
      <c r="AU380" s="25" t="str">
        <f t="shared" ca="1" si="55"/>
        <v/>
      </c>
      <c r="BU380" s="4">
        <v>189</v>
      </c>
      <c r="BV380" s="4">
        <f t="shared" si="51"/>
        <v>15.3</v>
      </c>
    </row>
    <row r="381" spans="37:74" hidden="1" x14ac:dyDescent="0.25">
      <c r="AK381" s="24" t="str">
        <f>IF(AND($D$15&lt;&gt;"",MAX($AK$9:AK380)&lt;$D$15)=TRUE,AK380+0.5,"")</f>
        <v/>
      </c>
      <c r="AL381" s="25" t="str">
        <f t="shared" si="56"/>
        <v/>
      </c>
      <c r="AN381" s="25" t="e">
        <f t="shared" ca="1" si="52"/>
        <v>#VALUE!</v>
      </c>
      <c r="AO381" s="25" t="str">
        <f t="shared" ca="1" si="53"/>
        <v/>
      </c>
      <c r="AP381" s="25" t="str">
        <f t="shared" ca="1" si="54"/>
        <v/>
      </c>
      <c r="AU381" s="25" t="str">
        <f t="shared" ca="1" si="55"/>
        <v/>
      </c>
      <c r="BU381" s="4">
        <v>189.5</v>
      </c>
      <c r="BV381" s="4">
        <f t="shared" si="51"/>
        <v>15.3</v>
      </c>
    </row>
    <row r="382" spans="37:74" hidden="1" x14ac:dyDescent="0.25">
      <c r="AK382" s="24" t="str">
        <f>IF(AND($D$15&lt;&gt;"",MAX($AK$9:AK381)&lt;$D$15)=TRUE,AK381+0.5,"")</f>
        <v/>
      </c>
      <c r="AL382" s="25" t="str">
        <f t="shared" si="56"/>
        <v/>
      </c>
      <c r="AN382" s="25" t="e">
        <f t="shared" ca="1" si="52"/>
        <v>#VALUE!</v>
      </c>
      <c r="AO382" s="25" t="str">
        <f t="shared" ca="1" si="53"/>
        <v/>
      </c>
      <c r="AP382" s="25" t="str">
        <f t="shared" ca="1" si="54"/>
        <v/>
      </c>
      <c r="AU382" s="25" t="str">
        <f t="shared" ca="1" si="55"/>
        <v/>
      </c>
      <c r="BU382" s="4">
        <v>190</v>
      </c>
      <c r="BV382" s="4">
        <f t="shared" si="51"/>
        <v>15.3</v>
      </c>
    </row>
    <row r="383" spans="37:74" hidden="1" x14ac:dyDescent="0.25">
      <c r="AK383" s="24" t="str">
        <f>IF(AND($D$15&lt;&gt;"",MAX($AK$9:AK382)&lt;$D$15)=TRUE,AK382+0.5,"")</f>
        <v/>
      </c>
      <c r="AL383" s="25" t="str">
        <f t="shared" si="56"/>
        <v/>
      </c>
      <c r="AN383" s="25" t="e">
        <f t="shared" ca="1" si="52"/>
        <v>#VALUE!</v>
      </c>
      <c r="AO383" s="25" t="str">
        <f t="shared" ca="1" si="53"/>
        <v/>
      </c>
      <c r="AP383" s="25" t="str">
        <f t="shared" ca="1" si="54"/>
        <v/>
      </c>
      <c r="AU383" s="25" t="str">
        <f t="shared" ca="1" si="55"/>
        <v/>
      </c>
      <c r="BU383" s="4">
        <v>190.5</v>
      </c>
      <c r="BV383" s="4">
        <f t="shared" si="51"/>
        <v>15.4</v>
      </c>
    </row>
    <row r="384" spans="37:74" hidden="1" x14ac:dyDescent="0.25">
      <c r="AK384" s="24" t="str">
        <f>IF(AND($D$15&lt;&gt;"",MAX($AK$9:AK383)&lt;$D$15)=TRUE,AK383+0.5,"")</f>
        <v/>
      </c>
      <c r="AL384" s="25" t="str">
        <f t="shared" si="56"/>
        <v/>
      </c>
      <c r="AN384" s="25" t="e">
        <f t="shared" ca="1" si="52"/>
        <v>#VALUE!</v>
      </c>
      <c r="AO384" s="25" t="str">
        <f t="shared" ca="1" si="53"/>
        <v/>
      </c>
      <c r="AP384" s="25" t="str">
        <f t="shared" ca="1" si="54"/>
        <v/>
      </c>
      <c r="AU384" s="25" t="str">
        <f t="shared" ca="1" si="55"/>
        <v/>
      </c>
      <c r="BU384" s="4">
        <v>191</v>
      </c>
      <c r="BV384" s="4">
        <f t="shared" si="51"/>
        <v>15.4</v>
      </c>
    </row>
    <row r="385" spans="37:74" hidden="1" x14ac:dyDescent="0.25">
      <c r="AK385" s="24" t="str">
        <f>IF(AND($D$15&lt;&gt;"",MAX($AK$9:AK384)&lt;$D$15)=TRUE,AK384+0.5,"")</f>
        <v/>
      </c>
      <c r="AL385" s="25" t="str">
        <f t="shared" si="56"/>
        <v/>
      </c>
      <c r="AN385" s="25" t="e">
        <f t="shared" ca="1" si="52"/>
        <v>#VALUE!</v>
      </c>
      <c r="AO385" s="25" t="str">
        <f t="shared" ca="1" si="53"/>
        <v/>
      </c>
      <c r="AP385" s="25" t="str">
        <f t="shared" ca="1" si="54"/>
        <v/>
      </c>
      <c r="AU385" s="25" t="str">
        <f t="shared" ca="1" si="55"/>
        <v/>
      </c>
      <c r="BU385" s="4">
        <v>191.5</v>
      </c>
      <c r="BV385" s="4">
        <f t="shared" si="51"/>
        <v>15.5</v>
      </c>
    </row>
    <row r="386" spans="37:74" hidden="1" x14ac:dyDescent="0.25">
      <c r="AK386" s="24" t="str">
        <f>IF(AND($D$15&lt;&gt;"",MAX($AK$9:AK385)&lt;$D$15)=TRUE,AK385+0.5,"")</f>
        <v/>
      </c>
      <c r="AL386" s="25" t="str">
        <f t="shared" si="56"/>
        <v/>
      </c>
      <c r="AN386" s="25" t="e">
        <f t="shared" ca="1" si="52"/>
        <v>#VALUE!</v>
      </c>
      <c r="AO386" s="25" t="str">
        <f t="shared" ca="1" si="53"/>
        <v/>
      </c>
      <c r="AP386" s="25" t="str">
        <f t="shared" ca="1" si="54"/>
        <v/>
      </c>
      <c r="AU386" s="25" t="str">
        <f t="shared" ca="1" si="55"/>
        <v/>
      </c>
      <c r="BU386" s="4">
        <v>192</v>
      </c>
      <c r="BV386" s="4">
        <f t="shared" si="51"/>
        <v>15.5</v>
      </c>
    </row>
    <row r="387" spans="37:74" hidden="1" x14ac:dyDescent="0.25">
      <c r="AK387" s="24" t="str">
        <f>IF(AND($D$15&lt;&gt;"",MAX($AK$9:AK386)&lt;$D$15)=TRUE,AK386+0.5,"")</f>
        <v/>
      </c>
      <c r="AL387" s="25" t="str">
        <f t="shared" si="56"/>
        <v/>
      </c>
      <c r="AN387" s="25" t="e">
        <f t="shared" ca="1" si="52"/>
        <v>#VALUE!</v>
      </c>
      <c r="AO387" s="25" t="str">
        <f t="shared" ca="1" si="53"/>
        <v/>
      </c>
      <c r="AP387" s="25" t="str">
        <f t="shared" ca="1" si="54"/>
        <v/>
      </c>
      <c r="AU387" s="25" t="str">
        <f t="shared" ca="1" si="55"/>
        <v/>
      </c>
      <c r="BU387" s="4">
        <v>192.5</v>
      </c>
      <c r="BV387" s="4">
        <f t="shared" ref="BV387:BV402" si="57">IFERROR(IF(AND($BS$2&gt;=5,$BS$2&lt;=29),HLOOKUP($BS$2,$BX$1:$CV$60,$BT387,FALSE),IF(BU387&gt;=0.6*$BS$2*2,ROUND(((7-4)/($BS$2*2-0.6*$BS$2*2))*(BU387-0.6*$BS$2*2)+4,1),ROUND(((4-1)/(0.6*$BS$2*2))*BU387+1,1))),"")</f>
        <v>15.5</v>
      </c>
    </row>
    <row r="388" spans="37:74" hidden="1" x14ac:dyDescent="0.25">
      <c r="AK388" s="24" t="str">
        <f>IF(AND($D$15&lt;&gt;"",MAX($AK$9:AK387)&lt;$D$15)=TRUE,AK387+0.5,"")</f>
        <v/>
      </c>
      <c r="AL388" s="25" t="str">
        <f t="shared" si="56"/>
        <v/>
      </c>
      <c r="AN388" s="25" t="e">
        <f t="shared" ca="1" si="52"/>
        <v>#VALUE!</v>
      </c>
      <c r="AO388" s="25" t="str">
        <f t="shared" ca="1" si="53"/>
        <v/>
      </c>
      <c r="AP388" s="25" t="str">
        <f t="shared" ca="1" si="54"/>
        <v/>
      </c>
      <c r="AU388" s="25" t="str">
        <f t="shared" ca="1" si="55"/>
        <v/>
      </c>
      <c r="BU388" s="4">
        <v>193</v>
      </c>
      <c r="BV388" s="4">
        <f t="shared" si="57"/>
        <v>15.6</v>
      </c>
    </row>
    <row r="389" spans="37:74" hidden="1" x14ac:dyDescent="0.25">
      <c r="AK389" s="24" t="str">
        <f>IF(AND($D$15&lt;&gt;"",MAX($AK$9:AK388)&lt;$D$15)=TRUE,AK388+0.5,"")</f>
        <v/>
      </c>
      <c r="AL389" s="25" t="str">
        <f t="shared" si="56"/>
        <v/>
      </c>
      <c r="AN389" s="25" t="e">
        <f t="shared" ca="1" si="52"/>
        <v>#VALUE!</v>
      </c>
      <c r="AO389" s="25" t="str">
        <f t="shared" ca="1" si="53"/>
        <v/>
      </c>
      <c r="AP389" s="25" t="str">
        <f t="shared" ca="1" si="54"/>
        <v/>
      </c>
      <c r="AU389" s="25" t="str">
        <f t="shared" ca="1" si="55"/>
        <v/>
      </c>
      <c r="BU389" s="4">
        <v>193.5</v>
      </c>
      <c r="BV389" s="4">
        <f t="shared" si="57"/>
        <v>15.6</v>
      </c>
    </row>
    <row r="390" spans="37:74" hidden="1" x14ac:dyDescent="0.25">
      <c r="AK390" s="24" t="str">
        <f>IF(AND($D$15&lt;&gt;"",MAX($AK$9:AK389)&lt;$D$15)=TRUE,AK389+0.5,"")</f>
        <v/>
      </c>
      <c r="AL390" s="25" t="str">
        <f t="shared" si="56"/>
        <v/>
      </c>
      <c r="AN390" s="25" t="e">
        <f t="shared" ca="1" si="52"/>
        <v>#VALUE!</v>
      </c>
      <c r="AO390" s="25" t="str">
        <f t="shared" ca="1" si="53"/>
        <v/>
      </c>
      <c r="AP390" s="25" t="str">
        <f t="shared" ca="1" si="54"/>
        <v/>
      </c>
      <c r="AU390" s="25" t="str">
        <f t="shared" ca="1" si="55"/>
        <v/>
      </c>
      <c r="BU390" s="4">
        <v>194</v>
      </c>
      <c r="BV390" s="4">
        <f t="shared" si="57"/>
        <v>15.7</v>
      </c>
    </row>
    <row r="391" spans="37:74" hidden="1" x14ac:dyDescent="0.25">
      <c r="AK391" s="24" t="str">
        <f>IF(AND($D$15&lt;&gt;"",MAX($AK$9:AK390)&lt;$D$15)=TRUE,AK390+0.5,"")</f>
        <v/>
      </c>
      <c r="AL391" s="25" t="str">
        <f t="shared" si="56"/>
        <v/>
      </c>
      <c r="AN391" s="25" t="e">
        <f t="shared" ca="1" si="52"/>
        <v>#VALUE!</v>
      </c>
      <c r="AO391" s="25" t="str">
        <f t="shared" ca="1" si="53"/>
        <v/>
      </c>
      <c r="AP391" s="25" t="str">
        <f t="shared" ca="1" si="54"/>
        <v/>
      </c>
      <c r="AU391" s="25" t="str">
        <f t="shared" ca="1" si="55"/>
        <v/>
      </c>
      <c r="BU391" s="4">
        <v>194.5</v>
      </c>
      <c r="BV391" s="4">
        <f t="shared" si="57"/>
        <v>15.7</v>
      </c>
    </row>
    <row r="392" spans="37:74" hidden="1" x14ac:dyDescent="0.25">
      <c r="AK392" s="24" t="str">
        <f>IF(AND($D$15&lt;&gt;"",MAX($AK$9:AK391)&lt;$D$15)=TRUE,AK391+0.5,"")</f>
        <v/>
      </c>
      <c r="AL392" s="25" t="str">
        <f t="shared" si="56"/>
        <v/>
      </c>
      <c r="AN392" s="25" t="e">
        <f t="shared" ca="1" si="52"/>
        <v>#VALUE!</v>
      </c>
      <c r="AO392" s="25" t="str">
        <f t="shared" ca="1" si="53"/>
        <v/>
      </c>
      <c r="AP392" s="25" t="str">
        <f t="shared" ca="1" si="54"/>
        <v/>
      </c>
      <c r="AU392" s="25" t="str">
        <f t="shared" ca="1" si="55"/>
        <v/>
      </c>
      <c r="BU392" s="4">
        <v>195</v>
      </c>
      <c r="BV392" s="4">
        <f t="shared" si="57"/>
        <v>15.8</v>
      </c>
    </row>
    <row r="393" spans="37:74" hidden="1" x14ac:dyDescent="0.25">
      <c r="AK393" s="24" t="str">
        <f>IF(AND($D$15&lt;&gt;"",MAX($AK$9:AK392)&lt;$D$15)=TRUE,AK392+0.5,"")</f>
        <v/>
      </c>
      <c r="AL393" s="25" t="str">
        <f t="shared" si="56"/>
        <v/>
      </c>
      <c r="AN393" s="25" t="e">
        <f t="shared" ca="1" si="52"/>
        <v>#VALUE!</v>
      </c>
      <c r="AO393" s="25" t="str">
        <f t="shared" ca="1" si="53"/>
        <v/>
      </c>
      <c r="AP393" s="25" t="str">
        <f t="shared" ca="1" si="54"/>
        <v/>
      </c>
      <c r="AU393" s="25" t="str">
        <f t="shared" ca="1" si="55"/>
        <v/>
      </c>
      <c r="BU393" s="4">
        <v>195.5</v>
      </c>
      <c r="BV393" s="4">
        <f t="shared" si="57"/>
        <v>15.8</v>
      </c>
    </row>
    <row r="394" spans="37:74" hidden="1" x14ac:dyDescent="0.25">
      <c r="AK394" s="24" t="str">
        <f>IF(AND($D$15&lt;&gt;"",MAX($AK$9:AK393)&lt;$D$15)=TRUE,AK393+0.5,"")</f>
        <v/>
      </c>
      <c r="AL394" s="25" t="str">
        <f t="shared" si="56"/>
        <v/>
      </c>
      <c r="AN394" s="25" t="e">
        <f t="shared" ref="AN394:AN409" ca="1" si="58">IF($AN$1=2024,ROUND(IF(AK394&lt;$D$15*$D$13,(4-$D$9)*(AK394/($D$15*$D$13))+$D$9,($D$11-4)*((AK394-$D$15*$D$13)/($D$15*(1-$D$13)))+4),1),"")</f>
        <v>#VALUE!</v>
      </c>
      <c r="AO394" s="25" t="str">
        <f t="shared" ref="AO394:AO409" ca="1" si="59">IF($AN$1=2024,IFERROR(IF(AK394&lt;=$D$15,ROUND(AK394/$D$15*($D$11-$D$9)+$D$9,1),""),""),"")</f>
        <v/>
      </c>
      <c r="AP394" s="25" t="str">
        <f t="shared" ref="AP394:AP409" ca="1" si="60">IF($AN$1=2024,IF(AO394&lt;&gt;"",ROUND((AO394-AVERAGE($AO$9:$AO$609))/STDEV($AO$9:$AO$609),1),""),"")</f>
        <v/>
      </c>
      <c r="AU394" s="25" t="str">
        <f t="shared" ref="AU394:AU409" ca="1" si="61">IF($AN$1=2024,IF(AP394&lt;&gt;"",IF(AP394=MIN($AP$9:$AP$609),1,IF(AP394=MAX($AP$9:$AP$609),7,ROUND(VLOOKUP(AP394,$AR$9:$AS$89,2,FALSE),1))),""),"")</f>
        <v/>
      </c>
      <c r="BU394" s="4">
        <v>196</v>
      </c>
      <c r="BV394" s="4">
        <f t="shared" si="57"/>
        <v>15.8</v>
      </c>
    </row>
    <row r="395" spans="37:74" hidden="1" x14ac:dyDescent="0.25">
      <c r="AK395" s="24" t="str">
        <f>IF(AND($D$15&lt;&gt;"",MAX($AK$9:AK394)&lt;$D$15)=TRUE,AK394+0.5,"")</f>
        <v/>
      </c>
      <c r="AL395" s="25" t="str">
        <f t="shared" si="56"/>
        <v/>
      </c>
      <c r="AN395" s="25" t="e">
        <f t="shared" ca="1" si="58"/>
        <v>#VALUE!</v>
      </c>
      <c r="AO395" s="25" t="str">
        <f t="shared" ca="1" si="59"/>
        <v/>
      </c>
      <c r="AP395" s="25" t="str">
        <f t="shared" ca="1" si="60"/>
        <v/>
      </c>
      <c r="AU395" s="25" t="str">
        <f t="shared" ca="1" si="61"/>
        <v/>
      </c>
      <c r="BU395" s="4">
        <v>196.5</v>
      </c>
      <c r="BV395" s="4">
        <f t="shared" si="57"/>
        <v>15.9</v>
      </c>
    </row>
    <row r="396" spans="37:74" hidden="1" x14ac:dyDescent="0.25">
      <c r="AK396" s="24" t="str">
        <f>IF(AND($D$15&lt;&gt;"",MAX($AK$9:AK395)&lt;$D$15)=TRUE,AK395+0.5,"")</f>
        <v/>
      </c>
      <c r="AL396" s="25" t="str">
        <f t="shared" si="56"/>
        <v/>
      </c>
      <c r="AN396" s="25" t="e">
        <f t="shared" ca="1" si="58"/>
        <v>#VALUE!</v>
      </c>
      <c r="AO396" s="25" t="str">
        <f t="shared" ca="1" si="59"/>
        <v/>
      </c>
      <c r="AP396" s="25" t="str">
        <f t="shared" ca="1" si="60"/>
        <v/>
      </c>
      <c r="AU396" s="25" t="str">
        <f t="shared" ca="1" si="61"/>
        <v/>
      </c>
      <c r="BU396" s="4">
        <v>197</v>
      </c>
      <c r="BV396" s="4">
        <f t="shared" si="57"/>
        <v>15.9</v>
      </c>
    </row>
    <row r="397" spans="37:74" hidden="1" x14ac:dyDescent="0.25">
      <c r="AK397" s="24" t="str">
        <f>IF(AND($D$15&lt;&gt;"",MAX($AK$9:AK396)&lt;$D$15)=TRUE,AK396+0.5,"")</f>
        <v/>
      </c>
      <c r="AL397" s="25" t="str">
        <f t="shared" si="56"/>
        <v/>
      </c>
      <c r="AN397" s="25" t="e">
        <f t="shared" ca="1" si="58"/>
        <v>#VALUE!</v>
      </c>
      <c r="AO397" s="25" t="str">
        <f t="shared" ca="1" si="59"/>
        <v/>
      </c>
      <c r="AP397" s="25" t="str">
        <f t="shared" ca="1" si="60"/>
        <v/>
      </c>
      <c r="AU397" s="25" t="str">
        <f t="shared" ca="1" si="61"/>
        <v/>
      </c>
      <c r="BU397" s="4">
        <v>197.5</v>
      </c>
      <c r="BV397" s="4">
        <f t="shared" si="57"/>
        <v>16</v>
      </c>
    </row>
    <row r="398" spans="37:74" hidden="1" x14ac:dyDescent="0.25">
      <c r="AK398" s="24" t="str">
        <f>IF(AND($D$15&lt;&gt;"",MAX($AK$9:AK397)&lt;$D$15)=TRUE,AK397+0.5,"")</f>
        <v/>
      </c>
      <c r="AL398" s="25" t="str">
        <f t="shared" si="56"/>
        <v/>
      </c>
      <c r="AN398" s="25" t="e">
        <f t="shared" ca="1" si="58"/>
        <v>#VALUE!</v>
      </c>
      <c r="AO398" s="25" t="str">
        <f t="shared" ca="1" si="59"/>
        <v/>
      </c>
      <c r="AP398" s="25" t="str">
        <f t="shared" ca="1" si="60"/>
        <v/>
      </c>
      <c r="AU398" s="25" t="str">
        <f t="shared" ca="1" si="61"/>
        <v/>
      </c>
      <c r="BU398" s="4">
        <v>198</v>
      </c>
      <c r="BV398" s="4">
        <f t="shared" si="57"/>
        <v>16</v>
      </c>
    </row>
    <row r="399" spans="37:74" hidden="1" x14ac:dyDescent="0.25">
      <c r="AK399" s="24" t="str">
        <f>IF(AND($D$15&lt;&gt;"",MAX($AK$9:AK398)&lt;$D$15)=TRUE,AK398+0.5,"")</f>
        <v/>
      </c>
      <c r="AL399" s="25" t="str">
        <f t="shared" si="56"/>
        <v/>
      </c>
      <c r="AN399" s="25" t="e">
        <f t="shared" ca="1" si="58"/>
        <v>#VALUE!</v>
      </c>
      <c r="AO399" s="25" t="str">
        <f t="shared" ca="1" si="59"/>
        <v/>
      </c>
      <c r="AP399" s="25" t="str">
        <f t="shared" ca="1" si="60"/>
        <v/>
      </c>
      <c r="AU399" s="25" t="str">
        <f t="shared" ca="1" si="61"/>
        <v/>
      </c>
      <c r="BU399" s="4">
        <v>198.5</v>
      </c>
      <c r="BV399" s="4">
        <f t="shared" si="57"/>
        <v>16</v>
      </c>
    </row>
    <row r="400" spans="37:74" hidden="1" x14ac:dyDescent="0.25">
      <c r="AK400" s="24" t="str">
        <f>IF(AND($D$15&lt;&gt;"",MAX($AK$9:AK399)&lt;$D$15)=TRUE,AK399+0.5,"")</f>
        <v/>
      </c>
      <c r="AL400" s="25" t="str">
        <f t="shared" si="56"/>
        <v/>
      </c>
      <c r="AN400" s="25" t="e">
        <f t="shared" ca="1" si="58"/>
        <v>#VALUE!</v>
      </c>
      <c r="AO400" s="25" t="str">
        <f t="shared" ca="1" si="59"/>
        <v/>
      </c>
      <c r="AP400" s="25" t="str">
        <f t="shared" ca="1" si="60"/>
        <v/>
      </c>
      <c r="AU400" s="25" t="str">
        <f t="shared" ca="1" si="61"/>
        <v/>
      </c>
      <c r="BU400" s="4">
        <v>199</v>
      </c>
      <c r="BV400" s="4">
        <f t="shared" si="57"/>
        <v>16.100000000000001</v>
      </c>
    </row>
    <row r="401" spans="37:74" hidden="1" x14ac:dyDescent="0.25">
      <c r="AK401" s="24" t="str">
        <f>IF(AND($D$15&lt;&gt;"",MAX($AK$9:AK400)&lt;$D$15)=TRUE,AK400+0.5,"")</f>
        <v/>
      </c>
      <c r="AL401" s="25" t="str">
        <f t="shared" si="56"/>
        <v/>
      </c>
      <c r="AN401" s="25" t="e">
        <f t="shared" ca="1" si="58"/>
        <v>#VALUE!</v>
      </c>
      <c r="AO401" s="25" t="str">
        <f t="shared" ca="1" si="59"/>
        <v/>
      </c>
      <c r="AP401" s="25" t="str">
        <f t="shared" ca="1" si="60"/>
        <v/>
      </c>
      <c r="AU401" s="25" t="str">
        <f t="shared" ca="1" si="61"/>
        <v/>
      </c>
      <c r="BU401" s="4">
        <v>199.5</v>
      </c>
      <c r="BV401" s="4">
        <f t="shared" si="57"/>
        <v>16.100000000000001</v>
      </c>
    </row>
    <row r="402" spans="37:74" hidden="1" x14ac:dyDescent="0.25">
      <c r="AK402" s="24" t="str">
        <f>IF(AND($D$15&lt;&gt;"",MAX($AK$9:AK401)&lt;$D$15)=TRUE,AK401+0.5,"")</f>
        <v/>
      </c>
      <c r="AL402" s="25" t="str">
        <f t="shared" si="56"/>
        <v/>
      </c>
      <c r="AN402" s="25" t="e">
        <f t="shared" ca="1" si="58"/>
        <v>#VALUE!</v>
      </c>
      <c r="AO402" s="25" t="str">
        <f t="shared" ca="1" si="59"/>
        <v/>
      </c>
      <c r="AP402" s="25" t="str">
        <f t="shared" ca="1" si="60"/>
        <v/>
      </c>
      <c r="AU402" s="25" t="str">
        <f t="shared" ca="1" si="61"/>
        <v/>
      </c>
      <c r="BU402" s="4">
        <v>200</v>
      </c>
      <c r="BV402" s="4">
        <f t="shared" si="57"/>
        <v>16.2</v>
      </c>
    </row>
    <row r="403" spans="37:74" hidden="1" x14ac:dyDescent="0.25">
      <c r="AK403" s="24" t="str">
        <f>IF(AND($D$15&lt;&gt;"",MAX($AK$9:AK402)&lt;$D$15)=TRUE,AK402+0.5,"")</f>
        <v/>
      </c>
      <c r="AL403" s="25" t="str">
        <f t="shared" si="56"/>
        <v/>
      </c>
      <c r="AN403" s="25" t="e">
        <f t="shared" ca="1" si="58"/>
        <v>#VALUE!</v>
      </c>
      <c r="AO403" s="25" t="str">
        <f t="shared" ca="1" si="59"/>
        <v/>
      </c>
      <c r="AP403" s="25" t="str">
        <f t="shared" ca="1" si="60"/>
        <v/>
      </c>
      <c r="AU403" s="25" t="str">
        <f t="shared" ca="1" si="61"/>
        <v/>
      </c>
    </row>
    <row r="404" spans="37:74" hidden="1" x14ac:dyDescent="0.25">
      <c r="AK404" s="24" t="str">
        <f>IF(AND($D$15&lt;&gt;"",MAX($AK$9:AK403)&lt;$D$15)=TRUE,AK403+0.5,"")</f>
        <v/>
      </c>
      <c r="AL404" s="25" t="str">
        <f t="shared" si="56"/>
        <v/>
      </c>
      <c r="AN404" s="25" t="e">
        <f t="shared" ca="1" si="58"/>
        <v>#VALUE!</v>
      </c>
      <c r="AO404" s="25" t="str">
        <f t="shared" ca="1" si="59"/>
        <v/>
      </c>
      <c r="AP404" s="25" t="str">
        <f t="shared" ca="1" si="60"/>
        <v/>
      </c>
      <c r="AU404" s="25" t="str">
        <f t="shared" ca="1" si="61"/>
        <v/>
      </c>
    </row>
    <row r="405" spans="37:74" hidden="1" x14ac:dyDescent="0.25">
      <c r="AK405" s="24" t="str">
        <f>IF(AND($D$15&lt;&gt;"",MAX($AK$9:AK404)&lt;$D$15)=TRUE,AK404+0.5,"")</f>
        <v/>
      </c>
      <c r="AL405" s="25" t="str">
        <f t="shared" ref="AL405:AL409" si="62">IF(AK405&lt;=$D$15,IF($D$17=$AZ$9,AO405,IF($D$17=$AZ$10,AN405,IF($D$17=$AZ$11,AU405,""))),"")</f>
        <v/>
      </c>
      <c r="AN405" s="25" t="e">
        <f t="shared" ca="1" si="58"/>
        <v>#VALUE!</v>
      </c>
      <c r="AO405" s="25" t="str">
        <f t="shared" ca="1" si="59"/>
        <v/>
      </c>
      <c r="AP405" s="25" t="str">
        <f t="shared" ca="1" si="60"/>
        <v/>
      </c>
      <c r="AU405" s="25" t="str">
        <f t="shared" ca="1" si="61"/>
        <v/>
      </c>
    </row>
    <row r="406" spans="37:74" hidden="1" x14ac:dyDescent="0.25">
      <c r="AK406" s="24" t="str">
        <f>IF(AND($D$15&lt;&gt;"",MAX($AK$9:AK405)&lt;$D$15)=TRUE,AK405+0.5,"")</f>
        <v/>
      </c>
      <c r="AL406" s="25" t="str">
        <f t="shared" si="62"/>
        <v/>
      </c>
      <c r="AN406" s="25" t="e">
        <f t="shared" ca="1" si="58"/>
        <v>#VALUE!</v>
      </c>
      <c r="AO406" s="25" t="str">
        <f t="shared" ca="1" si="59"/>
        <v/>
      </c>
      <c r="AP406" s="25" t="str">
        <f t="shared" ca="1" si="60"/>
        <v/>
      </c>
      <c r="AU406" s="25" t="str">
        <f t="shared" ca="1" si="61"/>
        <v/>
      </c>
    </row>
    <row r="407" spans="37:74" hidden="1" x14ac:dyDescent="0.25">
      <c r="AK407" s="24" t="str">
        <f>IF(AND($D$15&lt;&gt;"",MAX($AK$9:AK406)&lt;$D$15)=TRUE,AK406+0.5,"")</f>
        <v/>
      </c>
      <c r="AL407" s="25" t="str">
        <f t="shared" si="62"/>
        <v/>
      </c>
      <c r="AN407" s="25" t="e">
        <f t="shared" ca="1" si="58"/>
        <v>#VALUE!</v>
      </c>
      <c r="AO407" s="25" t="str">
        <f t="shared" ca="1" si="59"/>
        <v/>
      </c>
      <c r="AP407" s="25" t="str">
        <f t="shared" ca="1" si="60"/>
        <v/>
      </c>
      <c r="AU407" s="25" t="str">
        <f t="shared" ca="1" si="61"/>
        <v/>
      </c>
    </row>
    <row r="408" spans="37:74" hidden="1" x14ac:dyDescent="0.25">
      <c r="AK408" s="24" t="str">
        <f>IF(AND($D$15&lt;&gt;"",MAX($AK$9:AK407)&lt;$D$15)=TRUE,AK407+0.5,"")</f>
        <v/>
      </c>
      <c r="AL408" s="25" t="str">
        <f t="shared" si="62"/>
        <v/>
      </c>
      <c r="AN408" s="25" t="e">
        <f t="shared" ca="1" si="58"/>
        <v>#VALUE!</v>
      </c>
      <c r="AO408" s="25" t="str">
        <f t="shared" ca="1" si="59"/>
        <v/>
      </c>
      <c r="AP408" s="25" t="str">
        <f t="shared" ca="1" si="60"/>
        <v/>
      </c>
      <c r="AU408" s="25" t="str">
        <f t="shared" ca="1" si="61"/>
        <v/>
      </c>
    </row>
    <row r="409" spans="37:74" hidden="1" x14ac:dyDescent="0.25">
      <c r="AK409" s="24" t="str">
        <f>IF(AND($D$15&lt;&gt;"",MAX($AK$9:AK408)&lt;$D$15)=TRUE,AK408+0.5,"")</f>
        <v/>
      </c>
      <c r="AL409" s="25" t="str">
        <f t="shared" si="62"/>
        <v/>
      </c>
      <c r="AN409" s="25" t="e">
        <f t="shared" ca="1" si="58"/>
        <v>#VALUE!</v>
      </c>
      <c r="AO409" s="25" t="str">
        <f t="shared" ca="1" si="59"/>
        <v/>
      </c>
      <c r="AP409" s="25" t="str">
        <f t="shared" ca="1" si="60"/>
        <v/>
      </c>
      <c r="AU409" s="25" t="str">
        <f t="shared" ca="1" si="61"/>
        <v/>
      </c>
    </row>
  </sheetData>
  <sheetProtection algorithmName="SHA-512" hashValue="ADY7zrAb9QRpnWZuq+c2H4PtB723AtEvjq0PuJMdDMoDivXh2cUNvtSxOMcduf7LSrUZoQdoCPHOJXE9IJzr4Q==" saltValue="C91Nu0Gtw9BzPNj65OhErg==" spinCount="100000" sheet="1"/>
  <mergeCells count="10">
    <mergeCell ref="B22:E22"/>
    <mergeCell ref="B2:D3"/>
    <mergeCell ref="B4:D5"/>
    <mergeCell ref="AR8:AS8"/>
    <mergeCell ref="B17:C17"/>
    <mergeCell ref="B9:C9"/>
    <mergeCell ref="B11:C11"/>
    <mergeCell ref="B13:C13"/>
    <mergeCell ref="B15:C15"/>
    <mergeCell ref="AK8:AL8"/>
  </mergeCells>
  <conditionalFormatting sqref="T26 N26 H9:H28 K9:K16 Z9:Z25 AF9:AF25 Q26 AC9:AC25">
    <cfRule type="cellIs" dxfId="55" priority="11" operator="equal">
      <formula>"x"</formula>
    </cfRule>
  </conditionalFormatting>
  <conditionalFormatting sqref="Q31:Q40">
    <cfRule type="cellIs" dxfId="54" priority="6" operator="between">
      <formula>0.5</formula>
      <formula>3.999998</formula>
    </cfRule>
  </conditionalFormatting>
  <conditionalFormatting sqref="J6:J15 M6:M15 P6:P15 S6:S15 V6:V15 Y6:Y15 AB6:AB15 AE6:AE15 J18:J27 M18:M27 P18:P27 S18:S27 V18:V27 Y18:Y27 AB18:AB27 AE18:AE27 J30:J39 M30:M39 P30:P39 S30:S39">
    <cfRule type="cellIs" dxfId="53" priority="1" operator="lessThan">
      <formula>4</formula>
    </cfRule>
  </conditionalFormatting>
  <conditionalFormatting sqref="I7:J7 I9:J9 I15:J15 I13:J13 I11:J11 L7:M7 L9:M9 L15:M15 L13:M13 L11:M11 O7:P7 O9:P9 O15:P15 O13:P13 O11:P11 R7:S7 R9:S9 R15:S15 R13:S13 R11:S11 U7:V7 U9:V9 U15:V15 U13:V13 U11:V11 X7:Y7 X9:Y9 X15:Y15 X13:Y13 X11:Y11 AA7:AB7 AA9:AB9 AA15:AB15 AA13:AB13 AA11:AB11 AD7:AE7 AD9:AE9 AD15:AE15 AD13:AE13 AD11:AE11 I19:J19 I21:J21 I27:J27 I25:J25 I23:J23 L19:M19 L21:M21 L27:M27 L25:M25 L23:M23 O19:P19 O21:P21 O27:P27 O25:P25 O23:P23 R19:S19 R21:S21 R27:S27 R25:S25 R23:S23 U19:V19 U21:V21 U27:V27 U25:V25 U23:V23 X19:Y19 X21:Y21 X27:Y27 X25:Y25 X23:Y23 AA19:AB19 AA21:AB21 AA27:AB27 AA25:AB25 AA23:AB23 AD19:AE19 AD21:AE21 AD27:AE27 AD25:AE25 AD23:AE23 I31:J31 I33:J33 I39:J39 I37:J37 I35:J35 L31:M31 L33:M33 L39:M39 L37:M37 L35:M35 O31:P31 O33:P33 O39:P39 O37:P37 O35:P35 R31:S31 R33:S33 R39:S39 R37:S37 R35:S35">
    <cfRule type="cellIs" dxfId="52" priority="2" operator="greaterThan">
      <formula>0</formula>
    </cfRule>
  </conditionalFormatting>
  <dataValidations count="1">
    <dataValidation type="list" allowBlank="1" showInputMessage="1" showErrorMessage="1" sqref="D17" xr:uid="{00000000-0002-0000-0000-000000000000}">
      <formula1>$AZ$9:$AZ$11</formula1>
    </dataValidation>
  </dataValidations>
  <pageMargins left="0.7" right="0.7" top="0.75" bottom="0.75" header="0.3" footer="0.3"/>
  <pageSetup paperSize="14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Option Button 10">
              <controlPr locked="0" defaultSize="0" autoFill="0" autoLine="0" autoPict="0">
                <anchor moveWithCells="1">
                  <from>
                    <xdr:col>3</xdr:col>
                    <xdr:colOff>685800</xdr:colOff>
                    <xdr:row>18</xdr:row>
                    <xdr:rowOff>180975</xdr:rowOff>
                  </from>
                  <to>
                    <xdr:col>4</xdr:col>
                    <xdr:colOff>285750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Option Button 11">
              <controlPr locked="0" defaultSize="0" autoFill="0" autoLine="0" autoPict="0" macro="[0]!Botóndeopción11_Haga_clic_en">
                <anchor moveWithCells="1">
                  <from>
                    <xdr:col>3</xdr:col>
                    <xdr:colOff>685800</xdr:colOff>
                    <xdr:row>18</xdr:row>
                    <xdr:rowOff>19050</xdr:rowOff>
                  </from>
                  <to>
                    <xdr:col>4</xdr:col>
                    <xdr:colOff>247650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5:BF107"/>
  <sheetViews>
    <sheetView topLeftCell="E5" zoomScale="55" zoomScaleNormal="55" workbookViewId="0">
      <selection activeCell="E5" sqref="E5:AY5"/>
    </sheetView>
  </sheetViews>
  <sheetFormatPr baseColWidth="10" defaultColWidth="0" defaultRowHeight="15" zeroHeight="1" x14ac:dyDescent="0.25"/>
  <cols>
    <col min="1" max="4" width="11.42578125" style="13" hidden="1" customWidth="1"/>
    <col min="5" max="5" width="4.5703125" style="13" customWidth="1"/>
    <col min="6" max="6" width="4.7109375" style="13" customWidth="1"/>
    <col min="7" max="10" width="4.7109375" style="13" bestFit="1" customWidth="1"/>
    <col min="11" max="11" width="5" style="13" bestFit="1" customWidth="1"/>
    <col min="12" max="12" width="4.7109375" style="13" bestFit="1" customWidth="1"/>
    <col min="13" max="20" width="5" style="13" bestFit="1" customWidth="1"/>
    <col min="21" max="21" width="5.28515625" style="13" bestFit="1" customWidth="1"/>
    <col min="22" max="22" width="5" style="13" bestFit="1" customWidth="1"/>
    <col min="23" max="31" width="5.28515625" style="13" bestFit="1" customWidth="1"/>
    <col min="32" max="32" width="5" style="13" bestFit="1" customWidth="1"/>
    <col min="33" max="41" width="5.28515625" style="13" bestFit="1" customWidth="1"/>
    <col min="42" max="42" width="5" style="13" bestFit="1" customWidth="1"/>
    <col min="43" max="51" width="5.28515625" style="13" bestFit="1" customWidth="1"/>
    <col min="52" max="58" width="3.42578125" hidden="1" customWidth="1"/>
    <col min="59" max="16384" width="11.42578125" hidden="1"/>
  </cols>
  <sheetData>
    <row r="5" spans="1:51" ht="18.75" x14ac:dyDescent="0.3">
      <c r="A5" s="8"/>
      <c r="B5" s="8"/>
      <c r="C5" s="8"/>
      <c r="D5" s="8">
        <v>50</v>
      </c>
      <c r="E5" s="69" t="s">
        <v>74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</row>
    <row r="6" spans="1:51" x14ac:dyDescent="0.25">
      <c r="A6" s="8"/>
      <c r="B6" s="8"/>
      <c r="C6" s="8"/>
      <c r="D6" s="8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</row>
    <row r="7" spans="1:51" x14ac:dyDescent="0.25">
      <c r="A7" s="8">
        <v>0</v>
      </c>
      <c r="B7" s="9">
        <f ca="1">GENERADOR!J6</f>
        <v>1</v>
      </c>
      <c r="C7" s="8"/>
      <c r="D7" s="8"/>
      <c r="E7" s="10" t="s">
        <v>27</v>
      </c>
      <c r="F7" s="11" t="s">
        <v>28</v>
      </c>
      <c r="G7" s="11" t="s">
        <v>29</v>
      </c>
      <c r="H7" s="11" t="s">
        <v>30</v>
      </c>
      <c r="I7" s="11" t="s">
        <v>31</v>
      </c>
      <c r="J7" s="11" t="s">
        <v>32</v>
      </c>
      <c r="K7" s="11" t="s">
        <v>33</v>
      </c>
      <c r="L7" s="11" t="s">
        <v>34</v>
      </c>
      <c r="M7" s="11" t="s">
        <v>35</v>
      </c>
      <c r="N7" s="11" t="s">
        <v>36</v>
      </c>
      <c r="O7" s="11" t="s">
        <v>37</v>
      </c>
      <c r="P7" s="11" t="s">
        <v>38</v>
      </c>
      <c r="Q7" s="11" t="s">
        <v>39</v>
      </c>
      <c r="R7" s="11" t="s">
        <v>40</v>
      </c>
      <c r="S7" s="11" t="s">
        <v>41</v>
      </c>
      <c r="T7" s="11" t="s">
        <v>42</v>
      </c>
      <c r="U7" s="11" t="s">
        <v>43</v>
      </c>
      <c r="V7" s="11" t="s">
        <v>44</v>
      </c>
      <c r="W7" s="11" t="s">
        <v>45</v>
      </c>
      <c r="X7" s="11" t="s">
        <v>46</v>
      </c>
      <c r="Y7" s="11" t="s">
        <v>47</v>
      </c>
      <c r="Z7" s="11" t="s">
        <v>48</v>
      </c>
      <c r="AA7" s="11" t="s">
        <v>49</v>
      </c>
      <c r="AB7" s="11" t="s">
        <v>50</v>
      </c>
      <c r="AC7" s="11" t="s">
        <v>51</v>
      </c>
      <c r="AD7" s="11" t="s">
        <v>52</v>
      </c>
      <c r="AE7" s="11" t="s">
        <v>53</v>
      </c>
      <c r="AF7" s="11" t="s">
        <v>54</v>
      </c>
      <c r="AG7" s="11" t="s">
        <v>55</v>
      </c>
      <c r="AH7" s="11" t="s">
        <v>56</v>
      </c>
      <c r="AI7" s="11" t="s">
        <v>57</v>
      </c>
      <c r="AJ7" s="11" t="s">
        <v>58</v>
      </c>
      <c r="AK7" s="11" t="s">
        <v>59</v>
      </c>
      <c r="AL7" s="11" t="s">
        <v>60</v>
      </c>
      <c r="AM7" s="11" t="s">
        <v>61</v>
      </c>
      <c r="AN7" s="11" t="s">
        <v>62</v>
      </c>
      <c r="AO7" s="11" t="s">
        <v>63</v>
      </c>
      <c r="AP7" s="11" t="s">
        <v>64</v>
      </c>
      <c r="AQ7" s="11" t="s">
        <v>65</v>
      </c>
      <c r="AR7" s="11" t="s">
        <v>66</v>
      </c>
      <c r="AS7" s="11" t="s">
        <v>67</v>
      </c>
      <c r="AT7" s="11" t="s">
        <v>68</v>
      </c>
      <c r="AU7" s="11" t="s">
        <v>69</v>
      </c>
      <c r="AV7" s="11" t="s">
        <v>70</v>
      </c>
      <c r="AW7" s="11" t="s">
        <v>71</v>
      </c>
      <c r="AX7" s="11" t="s">
        <v>72</v>
      </c>
      <c r="AY7" s="12" t="s">
        <v>73</v>
      </c>
    </row>
    <row r="8" spans="1:51" x14ac:dyDescent="0.25">
      <c r="A8" s="13">
        <v>1</v>
      </c>
      <c r="B8" s="14">
        <f ca="1">GENERADOR!J7</f>
        <v>1</v>
      </c>
      <c r="E8" s="15">
        <v>0</v>
      </c>
      <c r="F8" s="17">
        <v>1</v>
      </c>
      <c r="G8" s="17">
        <v>1</v>
      </c>
      <c r="H8" s="17">
        <v>1</v>
      </c>
      <c r="I8" s="17">
        <v>1</v>
      </c>
      <c r="J8" s="17">
        <v>1</v>
      </c>
      <c r="K8" s="17">
        <v>1</v>
      </c>
      <c r="L8" s="17">
        <v>1</v>
      </c>
      <c r="M8" s="17">
        <v>1</v>
      </c>
      <c r="N8" s="17">
        <v>1</v>
      </c>
      <c r="O8" s="17">
        <v>1</v>
      </c>
      <c r="P8" s="17">
        <v>1</v>
      </c>
      <c r="Q8" s="17">
        <v>1</v>
      </c>
      <c r="R8" s="17">
        <v>1</v>
      </c>
      <c r="S8" s="17">
        <v>1</v>
      </c>
      <c r="T8" s="17">
        <v>1</v>
      </c>
      <c r="U8" s="17">
        <v>1</v>
      </c>
      <c r="V8" s="17">
        <v>1</v>
      </c>
      <c r="W8" s="17">
        <v>1</v>
      </c>
      <c r="X8" s="17">
        <v>1</v>
      </c>
      <c r="Y8" s="17">
        <v>1</v>
      </c>
      <c r="Z8" s="17">
        <v>1</v>
      </c>
      <c r="AA8" s="17">
        <v>1</v>
      </c>
      <c r="AB8" s="17">
        <v>1</v>
      </c>
      <c r="AC8" s="17">
        <v>1</v>
      </c>
      <c r="AD8" s="17">
        <v>1</v>
      </c>
      <c r="AE8" s="17">
        <v>1</v>
      </c>
      <c r="AF8" s="17">
        <v>1</v>
      </c>
      <c r="AG8" s="17">
        <v>1</v>
      </c>
      <c r="AH8" s="17">
        <v>1</v>
      </c>
      <c r="AI8" s="17">
        <v>1</v>
      </c>
      <c r="AJ8" s="17">
        <v>1</v>
      </c>
      <c r="AK8" s="17">
        <v>1</v>
      </c>
      <c r="AL8" s="17">
        <v>1</v>
      </c>
      <c r="AM8" s="17">
        <v>1</v>
      </c>
      <c r="AN8" s="17">
        <v>1</v>
      </c>
      <c r="AO8" s="17">
        <v>1</v>
      </c>
      <c r="AP8" s="17">
        <v>1</v>
      </c>
      <c r="AQ8" s="17">
        <v>1</v>
      </c>
      <c r="AR8" s="17">
        <v>1</v>
      </c>
      <c r="AS8" s="17">
        <v>1</v>
      </c>
      <c r="AT8" s="17">
        <v>1</v>
      </c>
      <c r="AU8" s="17">
        <v>1</v>
      </c>
      <c r="AV8" s="17">
        <v>1</v>
      </c>
      <c r="AW8" s="17">
        <v>1</v>
      </c>
      <c r="AX8" s="17">
        <v>1</v>
      </c>
      <c r="AY8" s="18">
        <v>1</v>
      </c>
    </row>
    <row r="9" spans="1:51" x14ac:dyDescent="0.25">
      <c r="A9" s="13">
        <v>2</v>
      </c>
      <c r="B9" s="14">
        <f ca="1">GENERADOR!J8</f>
        <v>1.1000000000000001</v>
      </c>
      <c r="E9" s="15">
        <v>1</v>
      </c>
      <c r="F9" s="17">
        <v>2</v>
      </c>
      <c r="G9" s="17">
        <v>1.8</v>
      </c>
      <c r="H9" s="17">
        <v>1.7</v>
      </c>
      <c r="I9" s="17">
        <v>1.6</v>
      </c>
      <c r="J9" s="17">
        <v>1.6</v>
      </c>
      <c r="K9" s="17">
        <v>1.5</v>
      </c>
      <c r="L9" s="17">
        <v>1.5</v>
      </c>
      <c r="M9" s="17">
        <v>1.4</v>
      </c>
      <c r="N9" s="17">
        <v>1.4</v>
      </c>
      <c r="O9" s="17">
        <v>1.4</v>
      </c>
      <c r="P9" s="17">
        <v>1.3</v>
      </c>
      <c r="Q9" s="17">
        <v>1.3</v>
      </c>
      <c r="R9" s="17">
        <v>1.3</v>
      </c>
      <c r="S9" s="17">
        <v>1.3</v>
      </c>
      <c r="T9" s="17">
        <v>1.3</v>
      </c>
      <c r="U9" s="17">
        <v>1.3</v>
      </c>
      <c r="V9" s="17">
        <v>1.2</v>
      </c>
      <c r="W9" s="17">
        <v>1.2</v>
      </c>
      <c r="X9" s="17">
        <v>1.2</v>
      </c>
      <c r="Y9" s="17">
        <v>1.2</v>
      </c>
      <c r="Z9" s="17">
        <v>1.2</v>
      </c>
      <c r="AA9" s="17">
        <v>1.2</v>
      </c>
      <c r="AB9" s="17">
        <v>1.2</v>
      </c>
      <c r="AC9" s="17">
        <v>1.2</v>
      </c>
      <c r="AD9" s="17">
        <v>1.2</v>
      </c>
      <c r="AE9" s="17">
        <v>1.2</v>
      </c>
      <c r="AF9" s="17">
        <v>1.2</v>
      </c>
      <c r="AG9" s="17">
        <v>1.2</v>
      </c>
      <c r="AH9" s="17">
        <v>1.2</v>
      </c>
      <c r="AI9" s="17">
        <v>1.1000000000000001</v>
      </c>
      <c r="AJ9" s="17">
        <v>1.1000000000000001</v>
      </c>
      <c r="AK9" s="17">
        <v>1.1000000000000001</v>
      </c>
      <c r="AL9" s="17">
        <v>1.1000000000000001</v>
      </c>
      <c r="AM9" s="17">
        <v>1.1000000000000001</v>
      </c>
      <c r="AN9" s="17">
        <v>1.1000000000000001</v>
      </c>
      <c r="AO9" s="17">
        <v>1.1000000000000001</v>
      </c>
      <c r="AP9" s="17">
        <v>1.1000000000000001</v>
      </c>
      <c r="AQ9" s="17">
        <v>1.1000000000000001</v>
      </c>
      <c r="AR9" s="17">
        <v>1.1000000000000001</v>
      </c>
      <c r="AS9" s="17">
        <v>1.1000000000000001</v>
      </c>
      <c r="AT9" s="17">
        <v>1.1000000000000001</v>
      </c>
      <c r="AU9" s="17">
        <v>1.1000000000000001</v>
      </c>
      <c r="AV9" s="17">
        <v>1.1000000000000001</v>
      </c>
      <c r="AW9" s="17">
        <v>1.1000000000000001</v>
      </c>
      <c r="AX9" s="17">
        <v>1.1000000000000001</v>
      </c>
      <c r="AY9" s="18">
        <v>1.1000000000000001</v>
      </c>
    </row>
    <row r="10" spans="1:51" x14ac:dyDescent="0.25">
      <c r="A10" s="13">
        <v>3</v>
      </c>
      <c r="B10" s="14">
        <f ca="1">GENERADOR!J9</f>
        <v>1.1000000000000001</v>
      </c>
      <c r="E10" s="15">
        <v>2</v>
      </c>
      <c r="F10" s="17">
        <v>3</v>
      </c>
      <c r="G10" s="17">
        <v>2.7</v>
      </c>
      <c r="H10" s="17">
        <v>2.4</v>
      </c>
      <c r="I10" s="17">
        <v>2.2999999999999998</v>
      </c>
      <c r="J10" s="17">
        <v>2.1</v>
      </c>
      <c r="K10" s="17">
        <v>2</v>
      </c>
      <c r="L10" s="17">
        <v>1.9</v>
      </c>
      <c r="M10" s="17">
        <v>1.8</v>
      </c>
      <c r="N10" s="17">
        <v>1.8</v>
      </c>
      <c r="O10" s="17">
        <v>1.7</v>
      </c>
      <c r="P10" s="17">
        <v>1.7</v>
      </c>
      <c r="Q10" s="17">
        <v>1.6</v>
      </c>
      <c r="R10" s="17">
        <v>1.6</v>
      </c>
      <c r="S10" s="17">
        <v>1.6</v>
      </c>
      <c r="T10" s="17">
        <v>1.5</v>
      </c>
      <c r="U10" s="17">
        <v>1.5</v>
      </c>
      <c r="V10" s="17">
        <v>1.5</v>
      </c>
      <c r="W10" s="17">
        <v>1.5</v>
      </c>
      <c r="X10" s="17">
        <v>1.4</v>
      </c>
      <c r="Y10" s="17">
        <v>1.4</v>
      </c>
      <c r="Z10" s="17">
        <v>1.4</v>
      </c>
      <c r="AA10" s="17">
        <v>1.4</v>
      </c>
      <c r="AB10" s="17">
        <v>1.4</v>
      </c>
      <c r="AC10" s="17">
        <v>1.4</v>
      </c>
      <c r="AD10" s="17">
        <v>1.3</v>
      </c>
      <c r="AE10" s="17">
        <v>1.3</v>
      </c>
      <c r="AF10" s="17">
        <v>1.3</v>
      </c>
      <c r="AG10" s="17">
        <v>1.3</v>
      </c>
      <c r="AH10" s="17">
        <v>1.3</v>
      </c>
      <c r="AI10" s="17">
        <v>1.3</v>
      </c>
      <c r="AJ10" s="17">
        <v>1.3</v>
      </c>
      <c r="AK10" s="17">
        <v>1.3</v>
      </c>
      <c r="AL10" s="17">
        <v>1.3</v>
      </c>
      <c r="AM10" s="17">
        <v>1.3</v>
      </c>
      <c r="AN10" s="17">
        <v>1.3</v>
      </c>
      <c r="AO10" s="17">
        <v>1.3</v>
      </c>
      <c r="AP10" s="17">
        <v>1.2</v>
      </c>
      <c r="AQ10" s="17">
        <v>1.2</v>
      </c>
      <c r="AR10" s="17">
        <v>1.2</v>
      </c>
      <c r="AS10" s="17">
        <v>1.2</v>
      </c>
      <c r="AT10" s="17">
        <v>1.2</v>
      </c>
      <c r="AU10" s="17">
        <v>1.2</v>
      </c>
      <c r="AV10" s="17">
        <v>1.2</v>
      </c>
      <c r="AW10" s="17">
        <v>1.2</v>
      </c>
      <c r="AX10" s="17">
        <v>1.2</v>
      </c>
      <c r="AY10" s="18">
        <v>1.2</v>
      </c>
    </row>
    <row r="11" spans="1:51" x14ac:dyDescent="0.25">
      <c r="A11" s="13">
        <v>4</v>
      </c>
      <c r="B11" s="14">
        <f ca="1">GENERADOR!J10</f>
        <v>1.1000000000000001</v>
      </c>
      <c r="E11" s="15">
        <v>3</v>
      </c>
      <c r="F11" s="17">
        <v>4</v>
      </c>
      <c r="G11" s="17">
        <v>3.5</v>
      </c>
      <c r="H11" s="17">
        <v>3.1</v>
      </c>
      <c r="I11" s="17">
        <v>2.9</v>
      </c>
      <c r="J11" s="17">
        <v>2.7</v>
      </c>
      <c r="K11" s="17">
        <v>2.5</v>
      </c>
      <c r="L11" s="17">
        <v>2.4</v>
      </c>
      <c r="M11" s="17">
        <v>2.2999999999999998</v>
      </c>
      <c r="N11" s="17">
        <v>2.2000000000000002</v>
      </c>
      <c r="O11" s="17">
        <v>2.1</v>
      </c>
      <c r="P11" s="17">
        <v>2</v>
      </c>
      <c r="Q11" s="17">
        <v>1.9</v>
      </c>
      <c r="R11" s="17">
        <v>1.9</v>
      </c>
      <c r="S11" s="17">
        <v>1.8</v>
      </c>
      <c r="T11" s="17">
        <v>1.8</v>
      </c>
      <c r="U11" s="17">
        <v>1.8</v>
      </c>
      <c r="V11" s="17">
        <v>1.7</v>
      </c>
      <c r="W11" s="17">
        <v>1.7</v>
      </c>
      <c r="X11" s="17">
        <v>1.7</v>
      </c>
      <c r="Y11" s="17">
        <v>1.6</v>
      </c>
      <c r="Z11" s="17">
        <v>1.6</v>
      </c>
      <c r="AA11" s="17">
        <v>1.6</v>
      </c>
      <c r="AB11" s="17">
        <v>1.6</v>
      </c>
      <c r="AC11" s="17">
        <v>1.5</v>
      </c>
      <c r="AD11" s="17">
        <v>1.5</v>
      </c>
      <c r="AE11" s="17">
        <v>1.5</v>
      </c>
      <c r="AF11" s="17">
        <v>1.5</v>
      </c>
      <c r="AG11" s="17">
        <v>1.5</v>
      </c>
      <c r="AH11" s="17">
        <v>1.5</v>
      </c>
      <c r="AI11" s="17">
        <v>1.4</v>
      </c>
      <c r="AJ11" s="17">
        <v>1.4</v>
      </c>
      <c r="AK11" s="17">
        <v>1.4</v>
      </c>
      <c r="AL11" s="17">
        <v>1.4</v>
      </c>
      <c r="AM11" s="17">
        <v>1.4</v>
      </c>
      <c r="AN11" s="17">
        <v>1.4</v>
      </c>
      <c r="AO11" s="17">
        <v>1.4</v>
      </c>
      <c r="AP11" s="17">
        <v>1.4</v>
      </c>
      <c r="AQ11" s="17">
        <v>1.4</v>
      </c>
      <c r="AR11" s="17">
        <v>1.3</v>
      </c>
      <c r="AS11" s="17">
        <v>1.3</v>
      </c>
      <c r="AT11" s="17">
        <v>1.3</v>
      </c>
      <c r="AU11" s="17">
        <v>1.3</v>
      </c>
      <c r="AV11" s="17">
        <v>1.3</v>
      </c>
      <c r="AW11" s="17">
        <v>1.3</v>
      </c>
      <c r="AX11" s="17">
        <v>1.3</v>
      </c>
      <c r="AY11" s="18">
        <v>1.3</v>
      </c>
    </row>
    <row r="12" spans="1:51" x14ac:dyDescent="0.25">
      <c r="A12" s="13">
        <v>5</v>
      </c>
      <c r="B12" s="14">
        <f ca="1">GENERADOR!J11</f>
        <v>1.1000000000000001</v>
      </c>
      <c r="E12" s="15">
        <v>4</v>
      </c>
      <c r="F12" s="17">
        <v>5.5</v>
      </c>
      <c r="G12" s="17">
        <v>4.5</v>
      </c>
      <c r="H12" s="17">
        <v>3.9</v>
      </c>
      <c r="I12" s="17">
        <v>3.5</v>
      </c>
      <c r="J12" s="17">
        <v>3.2</v>
      </c>
      <c r="K12" s="17">
        <v>3</v>
      </c>
      <c r="L12" s="17">
        <v>2.8</v>
      </c>
      <c r="M12" s="17">
        <v>2.7</v>
      </c>
      <c r="N12" s="17">
        <v>2.5</v>
      </c>
      <c r="O12" s="17">
        <v>2.4</v>
      </c>
      <c r="P12" s="17">
        <v>2.2999999999999998</v>
      </c>
      <c r="Q12" s="17">
        <v>2.2999999999999998</v>
      </c>
      <c r="R12" s="17">
        <v>2.2000000000000002</v>
      </c>
      <c r="S12" s="17">
        <v>2.1</v>
      </c>
      <c r="T12" s="17">
        <v>2.1</v>
      </c>
      <c r="U12" s="17">
        <v>2</v>
      </c>
      <c r="V12" s="17">
        <v>2</v>
      </c>
      <c r="W12" s="17">
        <v>1.9</v>
      </c>
      <c r="X12" s="17">
        <v>1.9</v>
      </c>
      <c r="Y12" s="17">
        <v>1.8</v>
      </c>
      <c r="Z12" s="17">
        <v>1.8</v>
      </c>
      <c r="AA12" s="17">
        <v>1.8</v>
      </c>
      <c r="AB12" s="17">
        <v>1.7</v>
      </c>
      <c r="AC12" s="17">
        <v>1.7</v>
      </c>
      <c r="AD12" s="17">
        <v>1.7</v>
      </c>
      <c r="AE12" s="17">
        <v>1.7</v>
      </c>
      <c r="AF12" s="17">
        <v>1.6</v>
      </c>
      <c r="AG12" s="17">
        <v>1.6</v>
      </c>
      <c r="AH12" s="17">
        <v>1.6</v>
      </c>
      <c r="AI12" s="17">
        <v>1.6</v>
      </c>
      <c r="AJ12" s="17">
        <v>1.6</v>
      </c>
      <c r="AK12" s="17">
        <v>1.6</v>
      </c>
      <c r="AL12" s="17">
        <v>1.5</v>
      </c>
      <c r="AM12" s="17">
        <v>1.5</v>
      </c>
      <c r="AN12" s="17">
        <v>1.5</v>
      </c>
      <c r="AO12" s="17">
        <v>1.5</v>
      </c>
      <c r="AP12" s="17">
        <v>1.5</v>
      </c>
      <c r="AQ12" s="17">
        <v>1.5</v>
      </c>
      <c r="AR12" s="17">
        <v>1.5</v>
      </c>
      <c r="AS12" s="17">
        <v>1.5</v>
      </c>
      <c r="AT12" s="17">
        <v>1.4</v>
      </c>
      <c r="AU12" s="17">
        <v>1.4</v>
      </c>
      <c r="AV12" s="17">
        <v>1.4</v>
      </c>
      <c r="AW12" s="17">
        <v>1.4</v>
      </c>
      <c r="AX12" s="17">
        <v>1.4</v>
      </c>
      <c r="AY12" s="18">
        <v>1.4</v>
      </c>
    </row>
    <row r="13" spans="1:51" x14ac:dyDescent="0.25">
      <c r="A13" s="13">
        <v>6</v>
      </c>
      <c r="B13" s="14">
        <f ca="1">GENERADOR!J12</f>
        <v>1.2</v>
      </c>
      <c r="E13" s="15">
        <v>5</v>
      </c>
      <c r="F13" s="17">
        <v>7</v>
      </c>
      <c r="G13" s="17">
        <v>5.8</v>
      </c>
      <c r="H13" s="17">
        <v>4.9000000000000004</v>
      </c>
      <c r="I13" s="17">
        <v>4.2</v>
      </c>
      <c r="J13" s="17">
        <v>3.8</v>
      </c>
      <c r="K13" s="17">
        <v>3.5</v>
      </c>
      <c r="L13" s="17">
        <v>3.3</v>
      </c>
      <c r="M13" s="17">
        <v>3.1</v>
      </c>
      <c r="N13" s="17">
        <v>2.9</v>
      </c>
      <c r="O13" s="17">
        <v>2.8</v>
      </c>
      <c r="P13" s="17">
        <v>2.7</v>
      </c>
      <c r="Q13" s="17">
        <v>2.6</v>
      </c>
      <c r="R13" s="17">
        <v>2.5</v>
      </c>
      <c r="S13" s="17">
        <v>2.4</v>
      </c>
      <c r="T13" s="17">
        <v>2.2999999999999998</v>
      </c>
      <c r="U13" s="17">
        <v>2.2999999999999998</v>
      </c>
      <c r="V13" s="17">
        <v>2.2000000000000002</v>
      </c>
      <c r="W13" s="17">
        <v>2.1</v>
      </c>
      <c r="X13" s="17">
        <v>2.1</v>
      </c>
      <c r="Y13" s="17">
        <v>2</v>
      </c>
      <c r="Z13" s="17">
        <v>2</v>
      </c>
      <c r="AA13" s="17">
        <v>2</v>
      </c>
      <c r="AB13" s="17">
        <v>1.9</v>
      </c>
      <c r="AC13" s="17">
        <v>1.9</v>
      </c>
      <c r="AD13" s="17">
        <v>1.9</v>
      </c>
      <c r="AE13" s="17">
        <v>1.8</v>
      </c>
      <c r="AF13" s="17">
        <v>1.8</v>
      </c>
      <c r="AG13" s="17">
        <v>1.8</v>
      </c>
      <c r="AH13" s="17">
        <v>1.8</v>
      </c>
      <c r="AI13" s="17">
        <v>1.7</v>
      </c>
      <c r="AJ13" s="17">
        <v>1.7</v>
      </c>
      <c r="AK13" s="17">
        <v>1.7</v>
      </c>
      <c r="AL13" s="17">
        <v>1.7</v>
      </c>
      <c r="AM13" s="17">
        <v>1.7</v>
      </c>
      <c r="AN13" s="17">
        <v>1.6</v>
      </c>
      <c r="AO13" s="17">
        <v>1.6</v>
      </c>
      <c r="AP13" s="17">
        <v>1.6</v>
      </c>
      <c r="AQ13" s="17">
        <v>1.6</v>
      </c>
      <c r="AR13" s="17">
        <v>1.6</v>
      </c>
      <c r="AS13" s="17">
        <v>1.6</v>
      </c>
      <c r="AT13" s="17">
        <v>1.6</v>
      </c>
      <c r="AU13" s="17">
        <v>1.5</v>
      </c>
      <c r="AV13" s="17">
        <v>1.5</v>
      </c>
      <c r="AW13" s="17">
        <v>1.5</v>
      </c>
      <c r="AX13" s="17">
        <v>1.5</v>
      </c>
      <c r="AY13" s="18">
        <v>1.5</v>
      </c>
    </row>
    <row r="14" spans="1:51" x14ac:dyDescent="0.25">
      <c r="A14" s="13">
        <v>7</v>
      </c>
      <c r="B14" s="14">
        <f ca="1">GENERADOR!J13</f>
        <v>1.2</v>
      </c>
      <c r="E14" s="15">
        <v>6</v>
      </c>
      <c r="F14" s="17"/>
      <c r="G14" s="17">
        <v>7</v>
      </c>
      <c r="H14" s="17">
        <v>5.9</v>
      </c>
      <c r="I14" s="17">
        <v>5.0999999999999996</v>
      </c>
      <c r="J14" s="17">
        <v>4.5</v>
      </c>
      <c r="K14" s="17">
        <v>4</v>
      </c>
      <c r="L14" s="17">
        <v>3.7</v>
      </c>
      <c r="M14" s="17">
        <v>3.5</v>
      </c>
      <c r="N14" s="17">
        <v>3.3</v>
      </c>
      <c r="O14" s="17">
        <v>3.1</v>
      </c>
      <c r="P14" s="17">
        <v>3</v>
      </c>
      <c r="Q14" s="17">
        <v>2.9</v>
      </c>
      <c r="R14" s="17">
        <v>2.8</v>
      </c>
      <c r="S14" s="17">
        <v>2.7</v>
      </c>
      <c r="T14" s="17">
        <v>2.6</v>
      </c>
      <c r="U14" s="17">
        <v>2.5</v>
      </c>
      <c r="V14" s="17">
        <v>2.4</v>
      </c>
      <c r="W14" s="17">
        <v>2.4</v>
      </c>
      <c r="X14" s="17">
        <v>2.2999999999999998</v>
      </c>
      <c r="Y14" s="17">
        <v>2.2999999999999998</v>
      </c>
      <c r="Z14" s="17">
        <v>2.2000000000000002</v>
      </c>
      <c r="AA14" s="17">
        <v>2.2000000000000002</v>
      </c>
      <c r="AB14" s="17">
        <v>2.1</v>
      </c>
      <c r="AC14" s="17">
        <v>2.1</v>
      </c>
      <c r="AD14" s="17">
        <v>2</v>
      </c>
      <c r="AE14" s="17">
        <v>2</v>
      </c>
      <c r="AF14" s="17">
        <v>2</v>
      </c>
      <c r="AG14" s="17">
        <v>1.9</v>
      </c>
      <c r="AH14" s="17">
        <v>1.9</v>
      </c>
      <c r="AI14" s="17">
        <v>1.9</v>
      </c>
      <c r="AJ14" s="17">
        <v>1.9</v>
      </c>
      <c r="AK14" s="17">
        <v>1.8</v>
      </c>
      <c r="AL14" s="17">
        <v>1.8</v>
      </c>
      <c r="AM14" s="17">
        <v>1.8</v>
      </c>
      <c r="AN14" s="17">
        <v>1.8</v>
      </c>
      <c r="AO14" s="17">
        <v>1.8</v>
      </c>
      <c r="AP14" s="17">
        <v>1.7</v>
      </c>
      <c r="AQ14" s="17">
        <v>1.7</v>
      </c>
      <c r="AR14" s="17">
        <v>1.7</v>
      </c>
      <c r="AS14" s="17">
        <v>1.7</v>
      </c>
      <c r="AT14" s="17">
        <v>1.7</v>
      </c>
      <c r="AU14" s="17">
        <v>1.7</v>
      </c>
      <c r="AV14" s="17">
        <v>1.6</v>
      </c>
      <c r="AW14" s="17">
        <v>1.6</v>
      </c>
      <c r="AX14" s="17">
        <v>1.6</v>
      </c>
      <c r="AY14" s="18">
        <v>1.6</v>
      </c>
    </row>
    <row r="15" spans="1:51" x14ac:dyDescent="0.25">
      <c r="A15" s="13">
        <v>8</v>
      </c>
      <c r="B15" s="14">
        <f ca="1">GENERADOR!J14</f>
        <v>1.2</v>
      </c>
      <c r="E15" s="15">
        <v>7</v>
      </c>
      <c r="F15" s="17"/>
      <c r="G15" s="17"/>
      <c r="H15" s="17">
        <v>7</v>
      </c>
      <c r="I15" s="17">
        <v>6.1</v>
      </c>
      <c r="J15" s="17">
        <v>5.3</v>
      </c>
      <c r="K15" s="17">
        <v>4.8</v>
      </c>
      <c r="L15" s="17">
        <v>4.3</v>
      </c>
      <c r="M15" s="17">
        <v>3.9</v>
      </c>
      <c r="N15" s="17">
        <v>3.7</v>
      </c>
      <c r="O15" s="17">
        <v>3.5</v>
      </c>
      <c r="P15" s="17">
        <v>3.3</v>
      </c>
      <c r="Q15" s="17">
        <v>3.2</v>
      </c>
      <c r="R15" s="17">
        <v>3.1</v>
      </c>
      <c r="S15" s="17">
        <v>2.9</v>
      </c>
      <c r="T15" s="17">
        <v>2.8</v>
      </c>
      <c r="U15" s="17">
        <v>2.8</v>
      </c>
      <c r="V15" s="17">
        <v>2.7</v>
      </c>
      <c r="W15" s="17">
        <v>2.6</v>
      </c>
      <c r="X15" s="17">
        <v>2.5</v>
      </c>
      <c r="Y15" s="17">
        <v>2.5</v>
      </c>
      <c r="Z15" s="17">
        <v>2.4</v>
      </c>
      <c r="AA15" s="17">
        <v>2.2999999999999998</v>
      </c>
      <c r="AB15" s="17">
        <v>2.2999999999999998</v>
      </c>
      <c r="AC15" s="17">
        <v>2.2999999999999998</v>
      </c>
      <c r="AD15" s="17">
        <v>2.2000000000000002</v>
      </c>
      <c r="AE15" s="17">
        <v>2.2000000000000002</v>
      </c>
      <c r="AF15" s="17">
        <v>2.1</v>
      </c>
      <c r="AG15" s="17">
        <v>2.1</v>
      </c>
      <c r="AH15" s="17">
        <v>2.1</v>
      </c>
      <c r="AI15" s="17">
        <v>2</v>
      </c>
      <c r="AJ15" s="17">
        <v>2</v>
      </c>
      <c r="AK15" s="17">
        <v>2</v>
      </c>
      <c r="AL15" s="17">
        <v>1.9</v>
      </c>
      <c r="AM15" s="17">
        <v>1.9</v>
      </c>
      <c r="AN15" s="17">
        <v>1.9</v>
      </c>
      <c r="AO15" s="17">
        <v>1.9</v>
      </c>
      <c r="AP15" s="17">
        <v>1.9</v>
      </c>
      <c r="AQ15" s="17">
        <v>1.8</v>
      </c>
      <c r="AR15" s="17">
        <v>1.8</v>
      </c>
      <c r="AS15" s="17">
        <v>1.8</v>
      </c>
      <c r="AT15" s="17">
        <v>1.8</v>
      </c>
      <c r="AU15" s="17">
        <v>1.8</v>
      </c>
      <c r="AV15" s="17">
        <v>1.7</v>
      </c>
      <c r="AW15" s="17">
        <v>1.7</v>
      </c>
      <c r="AX15" s="17">
        <v>1.7</v>
      </c>
      <c r="AY15" s="18">
        <v>1.7</v>
      </c>
    </row>
    <row r="16" spans="1:51" x14ac:dyDescent="0.25">
      <c r="A16" s="13">
        <v>9</v>
      </c>
      <c r="B16" s="14">
        <f ca="1">GENERADOR!J15</f>
        <v>1.2</v>
      </c>
      <c r="E16" s="15">
        <v>8</v>
      </c>
      <c r="F16" s="17"/>
      <c r="G16" s="17"/>
      <c r="H16" s="17"/>
      <c r="I16" s="17">
        <v>7</v>
      </c>
      <c r="J16" s="17">
        <v>6.2</v>
      </c>
      <c r="K16" s="17">
        <v>5.5</v>
      </c>
      <c r="L16" s="17">
        <v>5</v>
      </c>
      <c r="M16" s="17">
        <v>4.5</v>
      </c>
      <c r="N16" s="17">
        <v>4.0999999999999996</v>
      </c>
      <c r="O16" s="17">
        <v>3.9</v>
      </c>
      <c r="P16" s="17">
        <v>3.7</v>
      </c>
      <c r="Q16" s="17">
        <v>3.5</v>
      </c>
      <c r="R16" s="17">
        <v>3.4</v>
      </c>
      <c r="S16" s="17">
        <v>3.2</v>
      </c>
      <c r="T16" s="17">
        <v>3.1</v>
      </c>
      <c r="U16" s="17">
        <v>3</v>
      </c>
      <c r="V16" s="17">
        <v>2.9</v>
      </c>
      <c r="W16" s="17">
        <v>2.8</v>
      </c>
      <c r="X16" s="17">
        <v>2.7</v>
      </c>
      <c r="Y16" s="17">
        <v>2.7</v>
      </c>
      <c r="Z16" s="17">
        <v>2.6</v>
      </c>
      <c r="AA16" s="17">
        <v>2.5</v>
      </c>
      <c r="AB16" s="17">
        <v>2.5</v>
      </c>
      <c r="AC16" s="17">
        <v>2.4</v>
      </c>
      <c r="AD16" s="17">
        <v>2.4</v>
      </c>
      <c r="AE16" s="17">
        <v>2.2999999999999998</v>
      </c>
      <c r="AF16" s="17">
        <v>2.2999999999999998</v>
      </c>
      <c r="AG16" s="17">
        <v>2.2999999999999998</v>
      </c>
      <c r="AH16" s="17">
        <v>2.2000000000000002</v>
      </c>
      <c r="AI16" s="17">
        <v>2.2000000000000002</v>
      </c>
      <c r="AJ16" s="17">
        <v>2.1</v>
      </c>
      <c r="AK16" s="17">
        <v>2.1</v>
      </c>
      <c r="AL16" s="17">
        <v>2.1</v>
      </c>
      <c r="AM16" s="17">
        <v>2.1</v>
      </c>
      <c r="AN16" s="17">
        <v>2</v>
      </c>
      <c r="AO16" s="17">
        <v>2</v>
      </c>
      <c r="AP16" s="17">
        <v>2</v>
      </c>
      <c r="AQ16" s="17">
        <v>2</v>
      </c>
      <c r="AR16" s="17">
        <v>1.9</v>
      </c>
      <c r="AS16" s="17">
        <v>1.9</v>
      </c>
      <c r="AT16" s="17">
        <v>1.9</v>
      </c>
      <c r="AU16" s="17">
        <v>1.9</v>
      </c>
      <c r="AV16" s="17">
        <v>1.9</v>
      </c>
      <c r="AW16" s="17">
        <v>1.8</v>
      </c>
      <c r="AX16" s="17">
        <v>1.8</v>
      </c>
      <c r="AY16" s="18">
        <v>1.8</v>
      </c>
    </row>
    <row r="17" spans="1:51" x14ac:dyDescent="0.25">
      <c r="A17" s="13">
        <v>10</v>
      </c>
      <c r="B17" s="14">
        <f ca="1">GENERADOR!M6</f>
        <v>1.3</v>
      </c>
      <c r="E17" s="15">
        <v>9</v>
      </c>
      <c r="F17" s="17"/>
      <c r="G17" s="17"/>
      <c r="H17" s="17"/>
      <c r="I17" s="17"/>
      <c r="J17" s="17">
        <v>7</v>
      </c>
      <c r="K17" s="17">
        <v>6.3</v>
      </c>
      <c r="L17" s="17">
        <v>5.6</v>
      </c>
      <c r="M17" s="17">
        <v>5.0999999999999996</v>
      </c>
      <c r="N17" s="17">
        <v>4.7</v>
      </c>
      <c r="O17" s="17">
        <v>4.3</v>
      </c>
      <c r="P17" s="17">
        <v>4</v>
      </c>
      <c r="Q17" s="17">
        <v>3.8</v>
      </c>
      <c r="R17" s="17">
        <v>3.6</v>
      </c>
      <c r="S17" s="17">
        <v>3.5</v>
      </c>
      <c r="T17" s="17">
        <v>3.4</v>
      </c>
      <c r="U17" s="17">
        <v>3.3</v>
      </c>
      <c r="V17" s="17">
        <v>3.1</v>
      </c>
      <c r="W17" s="17">
        <v>3</v>
      </c>
      <c r="X17" s="17">
        <v>3</v>
      </c>
      <c r="Y17" s="17">
        <v>2.9</v>
      </c>
      <c r="Z17" s="17">
        <v>2.8</v>
      </c>
      <c r="AA17" s="17">
        <v>2.7</v>
      </c>
      <c r="AB17" s="17">
        <v>2.7</v>
      </c>
      <c r="AC17" s="17">
        <v>2.6</v>
      </c>
      <c r="AD17" s="17">
        <v>2.6</v>
      </c>
      <c r="AE17" s="17">
        <v>2.5</v>
      </c>
      <c r="AF17" s="17">
        <v>2.5</v>
      </c>
      <c r="AG17" s="17">
        <v>2.4</v>
      </c>
      <c r="AH17" s="17">
        <v>2.4</v>
      </c>
      <c r="AI17" s="17">
        <v>2.2999999999999998</v>
      </c>
      <c r="AJ17" s="17">
        <v>2.2999999999999998</v>
      </c>
      <c r="AK17" s="17">
        <v>2.2999999999999998</v>
      </c>
      <c r="AL17" s="17">
        <v>2.2000000000000002</v>
      </c>
      <c r="AM17" s="17">
        <v>2.2000000000000002</v>
      </c>
      <c r="AN17" s="17">
        <v>2.2000000000000002</v>
      </c>
      <c r="AO17" s="17">
        <v>2.1</v>
      </c>
      <c r="AP17" s="17">
        <v>2.1</v>
      </c>
      <c r="AQ17" s="17">
        <v>2.1</v>
      </c>
      <c r="AR17" s="17">
        <v>2</v>
      </c>
      <c r="AS17" s="17">
        <v>2</v>
      </c>
      <c r="AT17" s="17">
        <v>2</v>
      </c>
      <c r="AU17" s="17">
        <v>2</v>
      </c>
      <c r="AV17" s="17">
        <v>2</v>
      </c>
      <c r="AW17" s="17">
        <v>1.9</v>
      </c>
      <c r="AX17" s="17">
        <v>1.9</v>
      </c>
      <c r="AY17" s="18">
        <v>1.9</v>
      </c>
    </row>
    <row r="18" spans="1:51" x14ac:dyDescent="0.25">
      <c r="A18" s="13">
        <v>11</v>
      </c>
      <c r="B18" s="14">
        <f ca="1">GENERADOR!M7</f>
        <v>1.3</v>
      </c>
      <c r="E18" s="15">
        <v>10</v>
      </c>
      <c r="F18" s="17"/>
      <c r="G18" s="17"/>
      <c r="H18" s="17"/>
      <c r="I18" s="17"/>
      <c r="J18" s="17"/>
      <c r="K18" s="17">
        <v>7</v>
      </c>
      <c r="L18" s="17">
        <v>6.3</v>
      </c>
      <c r="M18" s="17">
        <v>5.8</v>
      </c>
      <c r="N18" s="17">
        <v>5.3</v>
      </c>
      <c r="O18" s="17">
        <v>4.9000000000000004</v>
      </c>
      <c r="P18" s="17">
        <v>4.5</v>
      </c>
      <c r="Q18" s="17">
        <v>4.2</v>
      </c>
      <c r="R18" s="17">
        <v>3.9</v>
      </c>
      <c r="S18" s="17">
        <v>3.8</v>
      </c>
      <c r="T18" s="17">
        <v>3.6</v>
      </c>
      <c r="U18" s="17">
        <v>3.5</v>
      </c>
      <c r="V18" s="17">
        <v>3.4</v>
      </c>
      <c r="W18" s="17">
        <v>3.3</v>
      </c>
      <c r="X18" s="17">
        <v>3.2</v>
      </c>
      <c r="Y18" s="17">
        <v>3.1</v>
      </c>
      <c r="Z18" s="17">
        <v>3</v>
      </c>
      <c r="AA18" s="17">
        <v>2.9</v>
      </c>
      <c r="AB18" s="17">
        <v>2.9</v>
      </c>
      <c r="AC18" s="17">
        <v>2.8</v>
      </c>
      <c r="AD18" s="17">
        <v>2.7</v>
      </c>
      <c r="AE18" s="17">
        <v>2.7</v>
      </c>
      <c r="AF18" s="17">
        <v>2.6</v>
      </c>
      <c r="AG18" s="17">
        <v>2.6</v>
      </c>
      <c r="AH18" s="17">
        <v>2.5</v>
      </c>
      <c r="AI18" s="17">
        <v>2.5</v>
      </c>
      <c r="AJ18" s="17">
        <v>2.4</v>
      </c>
      <c r="AK18" s="17">
        <v>2.4</v>
      </c>
      <c r="AL18" s="17">
        <v>2.4</v>
      </c>
      <c r="AM18" s="17">
        <v>2.2999999999999998</v>
      </c>
      <c r="AN18" s="17">
        <v>2.2999999999999998</v>
      </c>
      <c r="AO18" s="17">
        <v>2.2999999999999998</v>
      </c>
      <c r="AP18" s="17">
        <v>2.2000000000000002</v>
      </c>
      <c r="AQ18" s="17">
        <v>2.2000000000000002</v>
      </c>
      <c r="AR18" s="17">
        <v>2.2000000000000002</v>
      </c>
      <c r="AS18" s="17">
        <v>2.1</v>
      </c>
      <c r="AT18" s="17">
        <v>2.1</v>
      </c>
      <c r="AU18" s="17">
        <v>2.1</v>
      </c>
      <c r="AV18" s="17">
        <v>2.1</v>
      </c>
      <c r="AW18" s="17">
        <v>2</v>
      </c>
      <c r="AX18" s="17">
        <v>2</v>
      </c>
      <c r="AY18" s="18">
        <v>2</v>
      </c>
    </row>
    <row r="19" spans="1:51" x14ac:dyDescent="0.25">
      <c r="A19" s="13">
        <v>12</v>
      </c>
      <c r="B19" s="14">
        <f ca="1">GENERADOR!M8</f>
        <v>1.3</v>
      </c>
      <c r="E19" s="15">
        <v>11</v>
      </c>
      <c r="F19" s="17"/>
      <c r="G19" s="17"/>
      <c r="H19" s="17"/>
      <c r="I19" s="17"/>
      <c r="J19" s="17"/>
      <c r="K19" s="17"/>
      <c r="L19" s="17">
        <v>7</v>
      </c>
      <c r="M19" s="17">
        <v>6.4</v>
      </c>
      <c r="N19" s="17">
        <v>5.8</v>
      </c>
      <c r="O19" s="17">
        <v>5.4</v>
      </c>
      <c r="P19" s="17">
        <v>5</v>
      </c>
      <c r="Q19" s="17">
        <v>4.7</v>
      </c>
      <c r="R19" s="17">
        <v>4.4000000000000004</v>
      </c>
      <c r="S19" s="17">
        <v>4.0999999999999996</v>
      </c>
      <c r="T19" s="17">
        <v>3.9</v>
      </c>
      <c r="U19" s="17">
        <v>3.8</v>
      </c>
      <c r="V19" s="17">
        <v>3.6</v>
      </c>
      <c r="W19" s="17">
        <v>3.5</v>
      </c>
      <c r="X19" s="17">
        <v>3.4</v>
      </c>
      <c r="Y19" s="17">
        <v>3.3</v>
      </c>
      <c r="Z19" s="17">
        <v>3.2</v>
      </c>
      <c r="AA19" s="17">
        <v>3.1</v>
      </c>
      <c r="AB19" s="17">
        <v>3</v>
      </c>
      <c r="AC19" s="17">
        <v>3</v>
      </c>
      <c r="AD19" s="17">
        <v>2.9</v>
      </c>
      <c r="AE19" s="17">
        <v>2.8</v>
      </c>
      <c r="AF19" s="17">
        <v>2.8</v>
      </c>
      <c r="AG19" s="17">
        <v>2.7</v>
      </c>
      <c r="AH19" s="17">
        <v>2.7</v>
      </c>
      <c r="AI19" s="17">
        <v>2.6</v>
      </c>
      <c r="AJ19" s="17">
        <v>2.6</v>
      </c>
      <c r="AK19" s="17">
        <v>2.5</v>
      </c>
      <c r="AL19" s="17">
        <v>2.5</v>
      </c>
      <c r="AM19" s="17">
        <v>2.4</v>
      </c>
      <c r="AN19" s="17">
        <v>2.4</v>
      </c>
      <c r="AO19" s="17">
        <v>2.4</v>
      </c>
      <c r="AP19" s="17">
        <v>2.2999999999999998</v>
      </c>
      <c r="AQ19" s="17">
        <v>2.2999999999999998</v>
      </c>
      <c r="AR19" s="17">
        <v>2.2999999999999998</v>
      </c>
      <c r="AS19" s="17">
        <v>2.2999999999999998</v>
      </c>
      <c r="AT19" s="17">
        <v>2.2000000000000002</v>
      </c>
      <c r="AU19" s="17">
        <v>2.2000000000000002</v>
      </c>
      <c r="AV19" s="17">
        <v>2.2000000000000002</v>
      </c>
      <c r="AW19" s="17">
        <v>2.1</v>
      </c>
      <c r="AX19" s="17">
        <v>2.1</v>
      </c>
      <c r="AY19" s="18">
        <v>2.1</v>
      </c>
    </row>
    <row r="20" spans="1:51" x14ac:dyDescent="0.25">
      <c r="A20" s="13">
        <v>13</v>
      </c>
      <c r="B20" s="14">
        <f ca="1">GENERADOR!M9</f>
        <v>1.3</v>
      </c>
      <c r="E20" s="15">
        <v>12</v>
      </c>
      <c r="F20" s="17"/>
      <c r="G20" s="17"/>
      <c r="H20" s="17"/>
      <c r="I20" s="17"/>
      <c r="J20" s="17"/>
      <c r="K20" s="17"/>
      <c r="L20" s="17"/>
      <c r="M20" s="17">
        <v>7</v>
      </c>
      <c r="N20" s="17">
        <v>6.4</v>
      </c>
      <c r="O20" s="17">
        <v>5.9</v>
      </c>
      <c r="P20" s="17">
        <v>5.5</v>
      </c>
      <c r="Q20" s="17">
        <v>5.0999999999999996</v>
      </c>
      <c r="R20" s="17">
        <v>4.8</v>
      </c>
      <c r="S20" s="17">
        <v>4.5</v>
      </c>
      <c r="T20" s="17">
        <v>4.2</v>
      </c>
      <c r="U20" s="17">
        <v>4</v>
      </c>
      <c r="V20" s="17">
        <v>3.9</v>
      </c>
      <c r="W20" s="17">
        <v>3.7</v>
      </c>
      <c r="X20" s="17">
        <v>3.6</v>
      </c>
      <c r="Y20" s="17">
        <v>3.5</v>
      </c>
      <c r="Z20" s="17">
        <v>3.4</v>
      </c>
      <c r="AA20" s="17">
        <v>3.3</v>
      </c>
      <c r="AB20" s="17">
        <v>3.2</v>
      </c>
      <c r="AC20" s="17">
        <v>3.1</v>
      </c>
      <c r="AD20" s="17">
        <v>3.1</v>
      </c>
      <c r="AE20" s="17">
        <v>3</v>
      </c>
      <c r="AF20" s="17">
        <v>2.9</v>
      </c>
      <c r="AG20" s="17">
        <v>2.9</v>
      </c>
      <c r="AH20" s="17">
        <v>2.8</v>
      </c>
      <c r="AI20" s="17">
        <v>2.8</v>
      </c>
      <c r="AJ20" s="17">
        <v>2.7</v>
      </c>
      <c r="AK20" s="17">
        <v>2.7</v>
      </c>
      <c r="AL20" s="17">
        <v>2.6</v>
      </c>
      <c r="AM20" s="17">
        <v>2.6</v>
      </c>
      <c r="AN20" s="17">
        <v>2.5</v>
      </c>
      <c r="AO20" s="17">
        <v>2.5</v>
      </c>
      <c r="AP20" s="17">
        <v>2.5</v>
      </c>
      <c r="AQ20" s="17">
        <v>2.4</v>
      </c>
      <c r="AR20" s="17">
        <v>2.4</v>
      </c>
      <c r="AS20" s="17">
        <v>2.4</v>
      </c>
      <c r="AT20" s="17">
        <v>2.2999999999999998</v>
      </c>
      <c r="AU20" s="17">
        <v>2.2999999999999998</v>
      </c>
      <c r="AV20" s="17">
        <v>2.2999999999999998</v>
      </c>
      <c r="AW20" s="17">
        <v>2.2999999999999998</v>
      </c>
      <c r="AX20" s="17">
        <v>2.2000000000000002</v>
      </c>
      <c r="AY20" s="18">
        <v>2.2000000000000002</v>
      </c>
    </row>
    <row r="21" spans="1:51" x14ac:dyDescent="0.25">
      <c r="A21" s="13">
        <v>14</v>
      </c>
      <c r="B21" s="14">
        <f ca="1">GENERADOR!M10</f>
        <v>1.4</v>
      </c>
      <c r="E21" s="15">
        <v>13</v>
      </c>
      <c r="F21" s="17"/>
      <c r="G21" s="17"/>
      <c r="H21" s="17"/>
      <c r="I21" s="17"/>
      <c r="J21" s="17"/>
      <c r="K21" s="17"/>
      <c r="L21" s="17"/>
      <c r="M21" s="17"/>
      <c r="N21" s="17">
        <v>7</v>
      </c>
      <c r="O21" s="17">
        <v>6.5</v>
      </c>
      <c r="P21" s="17">
        <v>6</v>
      </c>
      <c r="Q21" s="17">
        <v>5.6</v>
      </c>
      <c r="R21" s="17">
        <v>5.2</v>
      </c>
      <c r="S21" s="17">
        <v>4.9000000000000004</v>
      </c>
      <c r="T21" s="17">
        <v>4.5999999999999996</v>
      </c>
      <c r="U21" s="17">
        <v>4.4000000000000004</v>
      </c>
      <c r="V21" s="17">
        <v>4.0999999999999996</v>
      </c>
      <c r="W21" s="17">
        <v>4</v>
      </c>
      <c r="X21" s="17">
        <v>3.8</v>
      </c>
      <c r="Y21" s="17">
        <v>3.7</v>
      </c>
      <c r="Z21" s="17">
        <v>3.6</v>
      </c>
      <c r="AA21" s="17">
        <v>3.5</v>
      </c>
      <c r="AB21" s="17">
        <v>3.4</v>
      </c>
      <c r="AC21" s="17">
        <v>3.3</v>
      </c>
      <c r="AD21" s="17">
        <v>3.2</v>
      </c>
      <c r="AE21" s="17">
        <v>3.2</v>
      </c>
      <c r="AF21" s="17">
        <v>3.1</v>
      </c>
      <c r="AG21" s="17">
        <v>3</v>
      </c>
      <c r="AH21" s="17">
        <v>3</v>
      </c>
      <c r="AI21" s="17">
        <v>2.9</v>
      </c>
      <c r="AJ21" s="17">
        <v>2.9</v>
      </c>
      <c r="AK21" s="17">
        <v>2.8</v>
      </c>
      <c r="AL21" s="17">
        <v>2.8</v>
      </c>
      <c r="AM21" s="17">
        <v>2.7</v>
      </c>
      <c r="AN21" s="17">
        <v>2.7</v>
      </c>
      <c r="AO21" s="17">
        <v>2.6</v>
      </c>
      <c r="AP21" s="17">
        <v>2.6</v>
      </c>
      <c r="AQ21" s="17">
        <v>2.5</v>
      </c>
      <c r="AR21" s="17">
        <v>2.5</v>
      </c>
      <c r="AS21" s="17">
        <v>2.5</v>
      </c>
      <c r="AT21" s="17">
        <v>2.4</v>
      </c>
      <c r="AU21" s="17">
        <v>2.4</v>
      </c>
      <c r="AV21" s="17">
        <v>2.4</v>
      </c>
      <c r="AW21" s="17">
        <v>2.4</v>
      </c>
      <c r="AX21" s="17">
        <v>2.2999999999999998</v>
      </c>
      <c r="AY21" s="18">
        <v>2.2999999999999998</v>
      </c>
    </row>
    <row r="22" spans="1:51" x14ac:dyDescent="0.25">
      <c r="A22" s="13">
        <v>15</v>
      </c>
      <c r="B22" s="14">
        <f ca="1">GENERADOR!M11</f>
        <v>1.4</v>
      </c>
      <c r="E22" s="15">
        <v>14</v>
      </c>
      <c r="F22" s="17"/>
      <c r="G22" s="17"/>
      <c r="H22" s="17"/>
      <c r="I22" s="17"/>
      <c r="J22" s="17"/>
      <c r="K22" s="17"/>
      <c r="L22" s="17"/>
      <c r="M22" s="17"/>
      <c r="N22" s="17"/>
      <c r="O22" s="17">
        <v>7</v>
      </c>
      <c r="P22" s="17">
        <v>6.5</v>
      </c>
      <c r="Q22" s="17">
        <v>6.1</v>
      </c>
      <c r="R22" s="17">
        <v>5.7</v>
      </c>
      <c r="S22" s="17">
        <v>5.3</v>
      </c>
      <c r="T22" s="17">
        <v>5</v>
      </c>
      <c r="U22" s="17">
        <v>4.8</v>
      </c>
      <c r="V22" s="17">
        <v>4.5</v>
      </c>
      <c r="W22" s="17">
        <v>4.3</v>
      </c>
      <c r="X22" s="17">
        <v>4.0999999999999996</v>
      </c>
      <c r="Y22" s="17">
        <v>3.9</v>
      </c>
      <c r="Z22" s="17">
        <v>3.8</v>
      </c>
      <c r="AA22" s="17">
        <v>3.7</v>
      </c>
      <c r="AB22" s="17">
        <v>3.6</v>
      </c>
      <c r="AC22" s="17">
        <v>3.5</v>
      </c>
      <c r="AD22" s="17">
        <v>3.4</v>
      </c>
      <c r="AE22" s="17">
        <v>3.3</v>
      </c>
      <c r="AF22" s="17">
        <v>3.3</v>
      </c>
      <c r="AG22" s="17">
        <v>3.2</v>
      </c>
      <c r="AH22" s="17">
        <v>3.1</v>
      </c>
      <c r="AI22" s="17">
        <v>3.1</v>
      </c>
      <c r="AJ22" s="17">
        <v>3</v>
      </c>
      <c r="AK22" s="17">
        <v>2.9</v>
      </c>
      <c r="AL22" s="17">
        <v>2.9</v>
      </c>
      <c r="AM22" s="17">
        <v>2.8</v>
      </c>
      <c r="AN22" s="17">
        <v>2.8</v>
      </c>
      <c r="AO22" s="17">
        <v>2.8</v>
      </c>
      <c r="AP22" s="17">
        <v>2.7</v>
      </c>
      <c r="AQ22" s="17">
        <v>2.7</v>
      </c>
      <c r="AR22" s="17">
        <v>2.6</v>
      </c>
      <c r="AS22" s="17">
        <v>2.6</v>
      </c>
      <c r="AT22" s="17">
        <v>2.6</v>
      </c>
      <c r="AU22" s="17">
        <v>2.5</v>
      </c>
      <c r="AV22" s="17">
        <v>2.5</v>
      </c>
      <c r="AW22" s="17">
        <v>2.5</v>
      </c>
      <c r="AX22" s="17">
        <v>2.4</v>
      </c>
      <c r="AY22" s="18">
        <v>2.4</v>
      </c>
    </row>
    <row r="23" spans="1:51" x14ac:dyDescent="0.25">
      <c r="A23" s="13">
        <v>16</v>
      </c>
      <c r="B23" s="14">
        <f ca="1">GENERADOR!M12</f>
        <v>1.4</v>
      </c>
      <c r="E23" s="15">
        <v>15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>
        <v>7</v>
      </c>
      <c r="Q23" s="17">
        <v>6.5</v>
      </c>
      <c r="R23" s="17">
        <v>6.1</v>
      </c>
      <c r="S23" s="17">
        <v>5.8</v>
      </c>
      <c r="T23" s="17">
        <v>5.4</v>
      </c>
      <c r="U23" s="17">
        <v>5.0999999999999996</v>
      </c>
      <c r="V23" s="17">
        <v>4.9000000000000004</v>
      </c>
      <c r="W23" s="17">
        <v>4.5999999999999996</v>
      </c>
      <c r="X23" s="17">
        <v>4.4000000000000004</v>
      </c>
      <c r="Y23" s="17">
        <v>4.2</v>
      </c>
      <c r="Z23" s="17">
        <v>4</v>
      </c>
      <c r="AA23" s="17">
        <v>3.9</v>
      </c>
      <c r="AB23" s="17">
        <v>3.8</v>
      </c>
      <c r="AC23" s="17">
        <v>3.7</v>
      </c>
      <c r="AD23" s="17">
        <v>3.6</v>
      </c>
      <c r="AE23" s="17">
        <v>3.5</v>
      </c>
      <c r="AF23" s="17">
        <v>3.4</v>
      </c>
      <c r="AG23" s="17">
        <v>3.3</v>
      </c>
      <c r="AH23" s="17">
        <v>3.3</v>
      </c>
      <c r="AI23" s="17">
        <v>3.2</v>
      </c>
      <c r="AJ23" s="17">
        <v>3.1</v>
      </c>
      <c r="AK23" s="17">
        <v>3.1</v>
      </c>
      <c r="AL23" s="17">
        <v>3</v>
      </c>
      <c r="AM23" s="17">
        <v>3</v>
      </c>
      <c r="AN23" s="17">
        <v>2.9</v>
      </c>
      <c r="AO23" s="17">
        <v>2.9</v>
      </c>
      <c r="AP23" s="17">
        <v>2.8</v>
      </c>
      <c r="AQ23" s="17">
        <v>2.8</v>
      </c>
      <c r="AR23" s="17">
        <v>2.7</v>
      </c>
      <c r="AS23" s="17">
        <v>2.7</v>
      </c>
      <c r="AT23" s="17">
        <v>2.7</v>
      </c>
      <c r="AU23" s="17">
        <v>2.6</v>
      </c>
      <c r="AV23" s="17">
        <v>2.6</v>
      </c>
      <c r="AW23" s="17">
        <v>2.6</v>
      </c>
      <c r="AX23" s="17">
        <v>2.5</v>
      </c>
      <c r="AY23" s="18">
        <v>2.5</v>
      </c>
    </row>
    <row r="24" spans="1:51" x14ac:dyDescent="0.25">
      <c r="A24" s="13">
        <v>17</v>
      </c>
      <c r="B24" s="14">
        <f ca="1">GENERADOR!M13</f>
        <v>1.4</v>
      </c>
      <c r="E24" s="15">
        <v>16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>
        <v>7</v>
      </c>
      <c r="R24" s="17">
        <v>6.6</v>
      </c>
      <c r="S24" s="17">
        <v>6.2</v>
      </c>
      <c r="T24" s="17">
        <v>5.8</v>
      </c>
      <c r="U24" s="17">
        <v>5.5</v>
      </c>
      <c r="V24" s="17">
        <v>5.2</v>
      </c>
      <c r="W24" s="17">
        <v>5</v>
      </c>
      <c r="X24" s="17">
        <v>4.7</v>
      </c>
      <c r="Y24" s="17">
        <v>4.5</v>
      </c>
      <c r="Z24" s="17">
        <v>4.3</v>
      </c>
      <c r="AA24" s="17">
        <v>4.0999999999999996</v>
      </c>
      <c r="AB24" s="17">
        <v>4</v>
      </c>
      <c r="AC24" s="17">
        <v>3.9</v>
      </c>
      <c r="AD24" s="17">
        <v>3.8</v>
      </c>
      <c r="AE24" s="17">
        <v>3.7</v>
      </c>
      <c r="AF24" s="17">
        <v>3.6</v>
      </c>
      <c r="AG24" s="17">
        <v>3.5</v>
      </c>
      <c r="AH24" s="17">
        <v>3.4</v>
      </c>
      <c r="AI24" s="17">
        <v>3.4</v>
      </c>
      <c r="AJ24" s="17">
        <v>3.3</v>
      </c>
      <c r="AK24" s="17">
        <v>3.2</v>
      </c>
      <c r="AL24" s="17">
        <v>3.2</v>
      </c>
      <c r="AM24" s="17">
        <v>3.1</v>
      </c>
      <c r="AN24" s="17">
        <v>3.1</v>
      </c>
      <c r="AO24" s="17">
        <v>3</v>
      </c>
      <c r="AP24" s="17">
        <v>3</v>
      </c>
      <c r="AQ24" s="17">
        <v>2.9</v>
      </c>
      <c r="AR24" s="17">
        <v>2.9</v>
      </c>
      <c r="AS24" s="17">
        <v>2.8</v>
      </c>
      <c r="AT24" s="17">
        <v>2.8</v>
      </c>
      <c r="AU24" s="17">
        <v>2.7</v>
      </c>
      <c r="AV24" s="17">
        <v>2.7</v>
      </c>
      <c r="AW24" s="17">
        <v>2.7</v>
      </c>
      <c r="AX24" s="17">
        <v>2.6</v>
      </c>
      <c r="AY24" s="18">
        <v>2.6</v>
      </c>
    </row>
    <row r="25" spans="1:51" x14ac:dyDescent="0.25">
      <c r="A25" s="13">
        <v>18</v>
      </c>
      <c r="B25" s="14">
        <f ca="1">GENERADOR!M14</f>
        <v>1.5</v>
      </c>
      <c r="E25" s="15">
        <v>17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>
        <v>7</v>
      </c>
      <c r="S25" s="17">
        <v>6.6</v>
      </c>
      <c r="T25" s="17">
        <v>6.2</v>
      </c>
      <c r="U25" s="17">
        <v>5.9</v>
      </c>
      <c r="V25" s="17">
        <v>5.6</v>
      </c>
      <c r="W25" s="17">
        <v>5.3</v>
      </c>
      <c r="X25" s="17">
        <v>5</v>
      </c>
      <c r="Y25" s="17">
        <v>4.8</v>
      </c>
      <c r="Z25" s="17">
        <v>4.5999999999999996</v>
      </c>
      <c r="AA25" s="17">
        <v>4.4000000000000004</v>
      </c>
      <c r="AB25" s="17">
        <v>4.2</v>
      </c>
      <c r="AC25" s="17">
        <v>4.0999999999999996</v>
      </c>
      <c r="AD25" s="17">
        <v>3.9</v>
      </c>
      <c r="AE25" s="17">
        <v>3.8</v>
      </c>
      <c r="AF25" s="17">
        <v>3.7</v>
      </c>
      <c r="AG25" s="17">
        <v>3.7</v>
      </c>
      <c r="AH25" s="17">
        <v>3.6</v>
      </c>
      <c r="AI25" s="17">
        <v>3.5</v>
      </c>
      <c r="AJ25" s="17">
        <v>3.4</v>
      </c>
      <c r="AK25" s="17">
        <v>3.4</v>
      </c>
      <c r="AL25" s="17">
        <v>3.3</v>
      </c>
      <c r="AM25" s="17">
        <v>3.2</v>
      </c>
      <c r="AN25" s="17">
        <v>3.2</v>
      </c>
      <c r="AO25" s="17">
        <v>3.1</v>
      </c>
      <c r="AP25" s="17">
        <v>3.1</v>
      </c>
      <c r="AQ25" s="17">
        <v>3</v>
      </c>
      <c r="AR25" s="17">
        <v>3</v>
      </c>
      <c r="AS25" s="17">
        <v>2.9</v>
      </c>
      <c r="AT25" s="17">
        <v>2.9</v>
      </c>
      <c r="AU25" s="17">
        <v>2.8</v>
      </c>
      <c r="AV25" s="17">
        <v>2.8</v>
      </c>
      <c r="AW25" s="17">
        <v>2.8</v>
      </c>
      <c r="AX25" s="17">
        <v>2.7</v>
      </c>
      <c r="AY25" s="18">
        <v>2.7</v>
      </c>
    </row>
    <row r="26" spans="1:51" x14ac:dyDescent="0.25">
      <c r="A26" s="13">
        <v>19</v>
      </c>
      <c r="B26" s="14">
        <f ca="1">GENERADOR!M15</f>
        <v>1.5</v>
      </c>
      <c r="E26" s="15">
        <v>18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>
        <v>7</v>
      </c>
      <c r="T26" s="17">
        <v>6.6</v>
      </c>
      <c r="U26" s="17">
        <v>6.3</v>
      </c>
      <c r="V26" s="17">
        <v>5.9</v>
      </c>
      <c r="W26" s="17">
        <v>5.6</v>
      </c>
      <c r="X26" s="17">
        <v>5.4</v>
      </c>
      <c r="Y26" s="17">
        <v>5.0999999999999996</v>
      </c>
      <c r="Z26" s="17">
        <v>4.9000000000000004</v>
      </c>
      <c r="AA26" s="17">
        <v>4.7</v>
      </c>
      <c r="AB26" s="17">
        <v>4.5</v>
      </c>
      <c r="AC26" s="17">
        <v>4.3</v>
      </c>
      <c r="AD26" s="17">
        <v>4.2</v>
      </c>
      <c r="AE26" s="17">
        <v>4</v>
      </c>
      <c r="AF26" s="17">
        <v>3.9</v>
      </c>
      <c r="AG26" s="17">
        <v>3.8</v>
      </c>
      <c r="AH26" s="17">
        <v>3.7</v>
      </c>
      <c r="AI26" s="17">
        <v>3.6</v>
      </c>
      <c r="AJ26" s="17">
        <v>3.6</v>
      </c>
      <c r="AK26" s="17">
        <v>3.5</v>
      </c>
      <c r="AL26" s="17">
        <v>3.4</v>
      </c>
      <c r="AM26" s="17">
        <v>3.4</v>
      </c>
      <c r="AN26" s="17">
        <v>3.3</v>
      </c>
      <c r="AO26" s="17">
        <v>3.3</v>
      </c>
      <c r="AP26" s="17">
        <v>3.2</v>
      </c>
      <c r="AQ26" s="17">
        <v>3.1</v>
      </c>
      <c r="AR26" s="17">
        <v>3.1</v>
      </c>
      <c r="AS26" s="17">
        <v>3</v>
      </c>
      <c r="AT26" s="17">
        <v>3</v>
      </c>
      <c r="AU26" s="17">
        <v>3</v>
      </c>
      <c r="AV26" s="17">
        <v>2.9</v>
      </c>
      <c r="AW26" s="17">
        <v>2.9</v>
      </c>
      <c r="AX26" s="17">
        <v>2.8</v>
      </c>
      <c r="AY26" s="18">
        <v>2.8</v>
      </c>
    </row>
    <row r="27" spans="1:51" x14ac:dyDescent="0.25">
      <c r="A27" s="13">
        <v>20</v>
      </c>
      <c r="B27" s="14">
        <f ca="1">GENERADOR!P6</f>
        <v>1.5</v>
      </c>
      <c r="E27" s="15">
        <v>19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>
        <v>7</v>
      </c>
      <c r="U27" s="17">
        <v>6.6</v>
      </c>
      <c r="V27" s="17">
        <v>6.3</v>
      </c>
      <c r="W27" s="17">
        <v>6</v>
      </c>
      <c r="X27" s="17">
        <v>5.7</v>
      </c>
      <c r="Y27" s="17">
        <v>5.4</v>
      </c>
      <c r="Z27" s="17">
        <v>5.2</v>
      </c>
      <c r="AA27" s="17">
        <v>5</v>
      </c>
      <c r="AB27" s="17">
        <v>4.8</v>
      </c>
      <c r="AC27" s="17">
        <v>4.5999999999999996</v>
      </c>
      <c r="AD27" s="17">
        <v>4.4000000000000004</v>
      </c>
      <c r="AE27" s="17">
        <v>4.3</v>
      </c>
      <c r="AF27" s="17">
        <v>4.0999999999999996</v>
      </c>
      <c r="AG27" s="17">
        <v>4</v>
      </c>
      <c r="AH27" s="17">
        <v>3.9</v>
      </c>
      <c r="AI27" s="17">
        <v>3.8</v>
      </c>
      <c r="AJ27" s="17">
        <v>3.7</v>
      </c>
      <c r="AK27" s="17">
        <v>3.6</v>
      </c>
      <c r="AL27" s="17">
        <v>3.6</v>
      </c>
      <c r="AM27" s="17">
        <v>3.5</v>
      </c>
      <c r="AN27" s="17">
        <v>3.4</v>
      </c>
      <c r="AO27" s="17">
        <v>3.4</v>
      </c>
      <c r="AP27" s="17">
        <v>3.3</v>
      </c>
      <c r="AQ27" s="17">
        <v>3.3</v>
      </c>
      <c r="AR27" s="17">
        <v>3.2</v>
      </c>
      <c r="AS27" s="17">
        <v>3.2</v>
      </c>
      <c r="AT27" s="17">
        <v>3.1</v>
      </c>
      <c r="AU27" s="17">
        <v>3.1</v>
      </c>
      <c r="AV27" s="17">
        <v>3</v>
      </c>
      <c r="AW27" s="17">
        <v>3</v>
      </c>
      <c r="AX27" s="17">
        <v>2.9</v>
      </c>
      <c r="AY27" s="18">
        <v>2.9</v>
      </c>
    </row>
    <row r="28" spans="1:51" x14ac:dyDescent="0.25">
      <c r="A28" s="13">
        <v>21</v>
      </c>
      <c r="B28" s="14">
        <f ca="1">GENERADOR!P7</f>
        <v>1.5</v>
      </c>
      <c r="E28" s="15">
        <v>20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>
        <v>7</v>
      </c>
      <c r="V28" s="17">
        <v>6.6</v>
      </c>
      <c r="W28" s="17">
        <v>6.3</v>
      </c>
      <c r="X28" s="17">
        <v>6</v>
      </c>
      <c r="Y28" s="17">
        <v>5.8</v>
      </c>
      <c r="Z28" s="17">
        <v>5.5</v>
      </c>
      <c r="AA28" s="17">
        <v>5.3</v>
      </c>
      <c r="AB28" s="17">
        <v>5.0999999999999996</v>
      </c>
      <c r="AC28" s="17">
        <v>4.9000000000000004</v>
      </c>
      <c r="AD28" s="17">
        <v>4.7</v>
      </c>
      <c r="AE28" s="17">
        <v>4.5</v>
      </c>
      <c r="AF28" s="17">
        <v>4.3</v>
      </c>
      <c r="AG28" s="17">
        <v>4.2</v>
      </c>
      <c r="AH28" s="17">
        <v>4</v>
      </c>
      <c r="AI28" s="17">
        <v>3.9</v>
      </c>
      <c r="AJ28" s="17">
        <v>3.9</v>
      </c>
      <c r="AK28" s="17">
        <v>3.8</v>
      </c>
      <c r="AL28" s="17">
        <v>3.7</v>
      </c>
      <c r="AM28" s="17">
        <v>3.6</v>
      </c>
      <c r="AN28" s="17">
        <v>3.6</v>
      </c>
      <c r="AO28" s="17">
        <v>3.5</v>
      </c>
      <c r="AP28" s="17">
        <v>3.4</v>
      </c>
      <c r="AQ28" s="17">
        <v>3.4</v>
      </c>
      <c r="AR28" s="17">
        <v>3.3</v>
      </c>
      <c r="AS28" s="17">
        <v>3.3</v>
      </c>
      <c r="AT28" s="17">
        <v>3.2</v>
      </c>
      <c r="AU28" s="17">
        <v>3.2</v>
      </c>
      <c r="AV28" s="17">
        <v>3.1</v>
      </c>
      <c r="AW28" s="17">
        <v>3.1</v>
      </c>
      <c r="AX28" s="17">
        <v>3</v>
      </c>
      <c r="AY28" s="18">
        <v>3</v>
      </c>
    </row>
    <row r="29" spans="1:51" x14ac:dyDescent="0.25">
      <c r="A29" s="13">
        <v>22</v>
      </c>
      <c r="B29" s="14">
        <f ca="1">GENERADOR!P8</f>
        <v>1.6</v>
      </c>
      <c r="E29" s="15">
        <v>21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>
        <v>7</v>
      </c>
      <c r="W29" s="17">
        <v>6.7</v>
      </c>
      <c r="X29" s="17">
        <v>6.3</v>
      </c>
      <c r="Y29" s="17">
        <v>6.1</v>
      </c>
      <c r="Z29" s="17">
        <v>5.8</v>
      </c>
      <c r="AA29" s="17">
        <v>5.6</v>
      </c>
      <c r="AB29" s="17">
        <v>5.3</v>
      </c>
      <c r="AC29" s="17">
        <v>5.0999999999999996</v>
      </c>
      <c r="AD29" s="17">
        <v>4.9000000000000004</v>
      </c>
      <c r="AE29" s="17">
        <v>4.8</v>
      </c>
      <c r="AF29" s="17">
        <v>4.5999999999999996</v>
      </c>
      <c r="AG29" s="17">
        <v>4.4000000000000004</v>
      </c>
      <c r="AH29" s="17">
        <v>4.3</v>
      </c>
      <c r="AI29" s="17">
        <v>4.0999999999999996</v>
      </c>
      <c r="AJ29" s="17">
        <v>4</v>
      </c>
      <c r="AK29" s="17">
        <v>3.9</v>
      </c>
      <c r="AL29" s="17">
        <v>3.8</v>
      </c>
      <c r="AM29" s="17">
        <v>3.8</v>
      </c>
      <c r="AN29" s="17">
        <v>3.7</v>
      </c>
      <c r="AO29" s="17">
        <v>3.6</v>
      </c>
      <c r="AP29" s="17">
        <v>3.6</v>
      </c>
      <c r="AQ29" s="17">
        <v>3.5</v>
      </c>
      <c r="AR29" s="17">
        <v>3.4</v>
      </c>
      <c r="AS29" s="17">
        <v>3.4</v>
      </c>
      <c r="AT29" s="17">
        <v>3.3</v>
      </c>
      <c r="AU29" s="17">
        <v>3.3</v>
      </c>
      <c r="AV29" s="17">
        <v>3.2</v>
      </c>
      <c r="AW29" s="17">
        <v>3.2</v>
      </c>
      <c r="AX29" s="17">
        <v>3.1</v>
      </c>
      <c r="AY29" s="18">
        <v>3.1</v>
      </c>
    </row>
    <row r="30" spans="1:51" x14ac:dyDescent="0.25">
      <c r="A30" s="13">
        <v>23</v>
      </c>
      <c r="B30" s="14">
        <f ca="1">GENERADOR!P9</f>
        <v>1.6</v>
      </c>
      <c r="E30" s="15">
        <v>22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>
        <v>7</v>
      </c>
      <c r="X30" s="17">
        <v>6.7</v>
      </c>
      <c r="Y30" s="17">
        <v>6.4</v>
      </c>
      <c r="Z30" s="17">
        <v>6.1</v>
      </c>
      <c r="AA30" s="17">
        <v>5.8</v>
      </c>
      <c r="AB30" s="17">
        <v>5.6</v>
      </c>
      <c r="AC30" s="17">
        <v>5.4</v>
      </c>
      <c r="AD30" s="17">
        <v>5.2</v>
      </c>
      <c r="AE30" s="17">
        <v>5</v>
      </c>
      <c r="AF30" s="17">
        <v>4.8</v>
      </c>
      <c r="AG30" s="17">
        <v>4.7</v>
      </c>
      <c r="AH30" s="17">
        <v>4.5</v>
      </c>
      <c r="AI30" s="17">
        <v>4.4000000000000004</v>
      </c>
      <c r="AJ30" s="17">
        <v>4.2</v>
      </c>
      <c r="AK30" s="17">
        <v>4.0999999999999996</v>
      </c>
      <c r="AL30" s="17">
        <v>4</v>
      </c>
      <c r="AM30" s="17">
        <v>3.9</v>
      </c>
      <c r="AN30" s="17">
        <v>3.8</v>
      </c>
      <c r="AO30" s="17">
        <v>3.8</v>
      </c>
      <c r="AP30" s="17">
        <v>3.7</v>
      </c>
      <c r="AQ30" s="17">
        <v>3.6</v>
      </c>
      <c r="AR30" s="17">
        <v>3.6</v>
      </c>
      <c r="AS30" s="17">
        <v>3.5</v>
      </c>
      <c r="AT30" s="17">
        <v>3.4</v>
      </c>
      <c r="AU30" s="17">
        <v>3.4</v>
      </c>
      <c r="AV30" s="17">
        <v>3.3</v>
      </c>
      <c r="AW30" s="17">
        <v>3.3</v>
      </c>
      <c r="AX30" s="17">
        <v>3.2</v>
      </c>
      <c r="AY30" s="18">
        <v>3.2</v>
      </c>
    </row>
    <row r="31" spans="1:51" x14ac:dyDescent="0.25">
      <c r="A31" s="13">
        <v>24</v>
      </c>
      <c r="B31" s="14">
        <f ca="1">GENERADOR!P10</f>
        <v>1.6</v>
      </c>
      <c r="E31" s="15">
        <v>23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>
        <v>7</v>
      </c>
      <c r="Y31" s="17">
        <v>6.7</v>
      </c>
      <c r="Z31" s="17">
        <v>6.4</v>
      </c>
      <c r="AA31" s="17">
        <v>6.1</v>
      </c>
      <c r="AB31" s="17">
        <v>5.9</v>
      </c>
      <c r="AC31" s="17">
        <v>5.7</v>
      </c>
      <c r="AD31" s="17">
        <v>5.4</v>
      </c>
      <c r="AE31" s="17">
        <v>5.3</v>
      </c>
      <c r="AF31" s="17">
        <v>5.0999999999999996</v>
      </c>
      <c r="AG31" s="17">
        <v>4.9000000000000004</v>
      </c>
      <c r="AH31" s="17">
        <v>4.7</v>
      </c>
      <c r="AI31" s="17">
        <v>4.5999999999999996</v>
      </c>
      <c r="AJ31" s="17">
        <v>4.4000000000000004</v>
      </c>
      <c r="AK31" s="17">
        <v>4.3</v>
      </c>
      <c r="AL31" s="17">
        <v>4.2</v>
      </c>
      <c r="AM31" s="17">
        <v>4</v>
      </c>
      <c r="AN31" s="17">
        <v>3.9</v>
      </c>
      <c r="AO31" s="17">
        <v>3.9</v>
      </c>
      <c r="AP31" s="17">
        <v>3.8</v>
      </c>
      <c r="AQ31" s="17">
        <v>3.7</v>
      </c>
      <c r="AR31" s="17">
        <v>3.7</v>
      </c>
      <c r="AS31" s="17">
        <v>3.6</v>
      </c>
      <c r="AT31" s="17">
        <v>3.6</v>
      </c>
      <c r="AU31" s="17">
        <v>3.5</v>
      </c>
      <c r="AV31" s="17">
        <v>3.4</v>
      </c>
      <c r="AW31" s="17">
        <v>3.4</v>
      </c>
      <c r="AX31" s="17">
        <v>3.3</v>
      </c>
      <c r="AY31" s="18">
        <v>3.3</v>
      </c>
    </row>
    <row r="32" spans="1:51" x14ac:dyDescent="0.25">
      <c r="A32" s="13">
        <v>25</v>
      </c>
      <c r="B32" s="14">
        <f ca="1">GENERADOR!P11</f>
        <v>1.6</v>
      </c>
      <c r="E32" s="15">
        <v>24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>
        <v>7</v>
      </c>
      <c r="Z32" s="17">
        <v>6.7</v>
      </c>
      <c r="AA32" s="17">
        <v>6.4</v>
      </c>
      <c r="AB32" s="17">
        <v>6.2</v>
      </c>
      <c r="AC32" s="17">
        <v>5.9</v>
      </c>
      <c r="AD32" s="17">
        <v>5.7</v>
      </c>
      <c r="AE32" s="17">
        <v>5.5</v>
      </c>
      <c r="AF32" s="17">
        <v>5.3</v>
      </c>
      <c r="AG32" s="17">
        <v>5.0999999999999996</v>
      </c>
      <c r="AH32" s="17">
        <v>5</v>
      </c>
      <c r="AI32" s="17">
        <v>4.8</v>
      </c>
      <c r="AJ32" s="17">
        <v>4.5999999999999996</v>
      </c>
      <c r="AK32" s="17">
        <v>4.5</v>
      </c>
      <c r="AL32" s="17">
        <v>4.4000000000000004</v>
      </c>
      <c r="AM32" s="17">
        <v>4.2</v>
      </c>
      <c r="AN32" s="17">
        <v>4.0999999999999996</v>
      </c>
      <c r="AO32" s="17">
        <v>4</v>
      </c>
      <c r="AP32" s="17">
        <v>3.9</v>
      </c>
      <c r="AQ32" s="17">
        <v>3.9</v>
      </c>
      <c r="AR32" s="17">
        <v>3.8</v>
      </c>
      <c r="AS32" s="17">
        <v>3.7</v>
      </c>
      <c r="AT32" s="17">
        <v>3.7</v>
      </c>
      <c r="AU32" s="17">
        <v>3.6</v>
      </c>
      <c r="AV32" s="17">
        <v>3.6</v>
      </c>
      <c r="AW32" s="17">
        <v>3.5</v>
      </c>
      <c r="AX32" s="17">
        <v>3.4</v>
      </c>
      <c r="AY32" s="18">
        <v>3.4</v>
      </c>
    </row>
    <row r="33" spans="1:51" x14ac:dyDescent="0.25">
      <c r="A33" s="13">
        <v>26</v>
      </c>
      <c r="B33" s="14">
        <f ca="1">GENERADOR!P12</f>
        <v>1.7</v>
      </c>
      <c r="E33" s="15">
        <v>25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>
        <v>7</v>
      </c>
      <c r="AA33" s="17">
        <v>6.7</v>
      </c>
      <c r="AB33" s="17">
        <v>6.4</v>
      </c>
      <c r="AC33" s="17">
        <v>6.2</v>
      </c>
      <c r="AD33" s="17">
        <v>6</v>
      </c>
      <c r="AE33" s="17">
        <v>5.8</v>
      </c>
      <c r="AF33" s="17">
        <v>5.5</v>
      </c>
      <c r="AG33" s="17">
        <v>5.4</v>
      </c>
      <c r="AH33" s="17">
        <v>5.2</v>
      </c>
      <c r="AI33" s="17">
        <v>5</v>
      </c>
      <c r="AJ33" s="17">
        <v>4.9000000000000004</v>
      </c>
      <c r="AK33" s="17">
        <v>4.7</v>
      </c>
      <c r="AL33" s="17">
        <v>4.5999999999999996</v>
      </c>
      <c r="AM33" s="17">
        <v>4.4000000000000004</v>
      </c>
      <c r="AN33" s="17">
        <v>4.3</v>
      </c>
      <c r="AO33" s="17">
        <v>4.2</v>
      </c>
      <c r="AP33" s="17">
        <v>4.0999999999999996</v>
      </c>
      <c r="AQ33" s="17">
        <v>4</v>
      </c>
      <c r="AR33" s="17">
        <v>3.9</v>
      </c>
      <c r="AS33" s="17">
        <v>3.8</v>
      </c>
      <c r="AT33" s="17">
        <v>3.8</v>
      </c>
      <c r="AU33" s="17">
        <v>3.7</v>
      </c>
      <c r="AV33" s="17">
        <v>3.7</v>
      </c>
      <c r="AW33" s="17">
        <v>3.6</v>
      </c>
      <c r="AX33" s="17">
        <v>3.6</v>
      </c>
      <c r="AY33" s="18">
        <v>3.5</v>
      </c>
    </row>
    <row r="34" spans="1:51" x14ac:dyDescent="0.25">
      <c r="A34" s="13">
        <v>27</v>
      </c>
      <c r="B34" s="14">
        <f ca="1">GENERADOR!P13</f>
        <v>1.7</v>
      </c>
      <c r="E34" s="15">
        <v>26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>
        <v>7</v>
      </c>
      <c r="AB34" s="17">
        <v>6.7</v>
      </c>
      <c r="AC34" s="17">
        <v>6.5</v>
      </c>
      <c r="AD34" s="17">
        <v>6.2</v>
      </c>
      <c r="AE34" s="17">
        <v>6</v>
      </c>
      <c r="AF34" s="17">
        <v>5.8</v>
      </c>
      <c r="AG34" s="17">
        <v>5.6</v>
      </c>
      <c r="AH34" s="17">
        <v>5.4</v>
      </c>
      <c r="AI34" s="17">
        <v>5.2</v>
      </c>
      <c r="AJ34" s="17">
        <v>5.0999999999999996</v>
      </c>
      <c r="AK34" s="17">
        <v>4.9000000000000004</v>
      </c>
      <c r="AL34" s="17">
        <v>4.8</v>
      </c>
      <c r="AM34" s="17">
        <v>4.5999999999999996</v>
      </c>
      <c r="AN34" s="17">
        <v>4.5</v>
      </c>
      <c r="AO34" s="17">
        <v>4.4000000000000004</v>
      </c>
      <c r="AP34" s="17">
        <v>4.3</v>
      </c>
      <c r="AQ34" s="17">
        <v>4.0999999999999996</v>
      </c>
      <c r="AR34" s="17">
        <v>4</v>
      </c>
      <c r="AS34" s="17">
        <v>4</v>
      </c>
      <c r="AT34" s="17">
        <v>3.9</v>
      </c>
      <c r="AU34" s="17">
        <v>3.8</v>
      </c>
      <c r="AV34" s="17">
        <v>3.8</v>
      </c>
      <c r="AW34" s="17">
        <v>3.7</v>
      </c>
      <c r="AX34" s="17">
        <v>3.7</v>
      </c>
      <c r="AY34" s="18">
        <v>3.6</v>
      </c>
    </row>
    <row r="35" spans="1:51" x14ac:dyDescent="0.25">
      <c r="A35" s="13">
        <v>28</v>
      </c>
      <c r="B35" s="14">
        <f ca="1">GENERADOR!P14</f>
        <v>1.7</v>
      </c>
      <c r="E35" s="15">
        <v>27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>
        <v>7</v>
      </c>
      <c r="AC35" s="17">
        <v>6.7</v>
      </c>
      <c r="AD35" s="17">
        <v>6.5</v>
      </c>
      <c r="AE35" s="17">
        <v>6.3</v>
      </c>
      <c r="AF35" s="17">
        <v>6</v>
      </c>
      <c r="AG35" s="17">
        <v>5.8</v>
      </c>
      <c r="AH35" s="17">
        <v>5.6</v>
      </c>
      <c r="AI35" s="17">
        <v>5.5</v>
      </c>
      <c r="AJ35" s="17">
        <v>5.3</v>
      </c>
      <c r="AK35" s="17">
        <v>5.0999999999999996</v>
      </c>
      <c r="AL35" s="17">
        <v>5</v>
      </c>
      <c r="AM35" s="17">
        <v>4.8</v>
      </c>
      <c r="AN35" s="17">
        <v>4.7</v>
      </c>
      <c r="AO35" s="17">
        <v>4.5999999999999996</v>
      </c>
      <c r="AP35" s="17">
        <v>4.4000000000000004</v>
      </c>
      <c r="AQ35" s="17">
        <v>4.3</v>
      </c>
      <c r="AR35" s="17">
        <v>4.2</v>
      </c>
      <c r="AS35" s="17">
        <v>4.0999999999999996</v>
      </c>
      <c r="AT35" s="17">
        <v>4</v>
      </c>
      <c r="AU35" s="17">
        <v>3.9</v>
      </c>
      <c r="AV35" s="17">
        <v>3.9</v>
      </c>
      <c r="AW35" s="17">
        <v>3.8</v>
      </c>
      <c r="AX35" s="17">
        <v>3.8</v>
      </c>
      <c r="AY35" s="18">
        <v>3.7</v>
      </c>
    </row>
    <row r="36" spans="1:51" x14ac:dyDescent="0.25">
      <c r="A36" s="13">
        <v>29</v>
      </c>
      <c r="B36" s="14">
        <f ca="1">GENERADOR!P15</f>
        <v>1.7</v>
      </c>
      <c r="E36" s="15">
        <v>28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>
        <v>7</v>
      </c>
      <c r="AD36" s="17">
        <v>6.7</v>
      </c>
      <c r="AE36" s="17">
        <v>6.5</v>
      </c>
      <c r="AF36" s="17">
        <v>6.3</v>
      </c>
      <c r="AG36" s="17">
        <v>6.1</v>
      </c>
      <c r="AH36" s="17">
        <v>5.9</v>
      </c>
      <c r="AI36" s="17">
        <v>5.7</v>
      </c>
      <c r="AJ36" s="17">
        <v>5.5</v>
      </c>
      <c r="AK36" s="17">
        <v>5.3</v>
      </c>
      <c r="AL36" s="17">
        <v>5.2</v>
      </c>
      <c r="AM36" s="17">
        <v>5</v>
      </c>
      <c r="AN36" s="17">
        <v>4.9000000000000004</v>
      </c>
      <c r="AO36" s="17">
        <v>4.8</v>
      </c>
      <c r="AP36" s="17">
        <v>4.5999999999999996</v>
      </c>
      <c r="AQ36" s="17">
        <v>4.5</v>
      </c>
      <c r="AR36" s="17">
        <v>4.4000000000000004</v>
      </c>
      <c r="AS36" s="17">
        <v>4.3</v>
      </c>
      <c r="AT36" s="17">
        <v>4.2</v>
      </c>
      <c r="AU36" s="17">
        <v>4.0999999999999996</v>
      </c>
      <c r="AV36" s="17">
        <v>4</v>
      </c>
      <c r="AW36" s="17">
        <v>3.9</v>
      </c>
      <c r="AX36" s="17">
        <v>3.9</v>
      </c>
      <c r="AY36" s="18">
        <v>3.8</v>
      </c>
    </row>
    <row r="37" spans="1:51" x14ac:dyDescent="0.25">
      <c r="A37" s="13">
        <v>30</v>
      </c>
      <c r="B37" s="14">
        <f ca="1">GENERADOR!S6</f>
        <v>1.8</v>
      </c>
      <c r="E37" s="15">
        <v>29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>
        <v>7</v>
      </c>
      <c r="AE37" s="17">
        <v>6.8</v>
      </c>
      <c r="AF37" s="17">
        <v>6.5</v>
      </c>
      <c r="AG37" s="17">
        <v>6.3</v>
      </c>
      <c r="AH37" s="17">
        <v>6.1</v>
      </c>
      <c r="AI37" s="17">
        <v>5.9</v>
      </c>
      <c r="AJ37" s="17">
        <v>5.7</v>
      </c>
      <c r="AK37" s="17">
        <v>5.5</v>
      </c>
      <c r="AL37" s="17">
        <v>5.4</v>
      </c>
      <c r="AM37" s="17">
        <v>5.2</v>
      </c>
      <c r="AN37" s="17">
        <v>5.0999999999999996</v>
      </c>
      <c r="AO37" s="17">
        <v>4.9000000000000004</v>
      </c>
      <c r="AP37" s="17">
        <v>4.8</v>
      </c>
      <c r="AQ37" s="17">
        <v>4.7</v>
      </c>
      <c r="AR37" s="17">
        <v>4.5999999999999996</v>
      </c>
      <c r="AS37" s="17">
        <v>4.4000000000000004</v>
      </c>
      <c r="AT37" s="17">
        <v>4.3</v>
      </c>
      <c r="AU37" s="17">
        <v>4.2</v>
      </c>
      <c r="AV37" s="17">
        <v>4.0999999999999996</v>
      </c>
      <c r="AW37" s="17">
        <v>4</v>
      </c>
      <c r="AX37" s="17">
        <v>4</v>
      </c>
      <c r="AY37" s="18">
        <v>3.9</v>
      </c>
    </row>
    <row r="38" spans="1:51" x14ac:dyDescent="0.25">
      <c r="A38" s="13">
        <v>31</v>
      </c>
      <c r="B38" s="14">
        <f ca="1">GENERADOR!S7</f>
        <v>1.8</v>
      </c>
      <c r="E38" s="15">
        <v>30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>
        <v>7</v>
      </c>
      <c r="AF38" s="17">
        <v>6.8</v>
      </c>
      <c r="AG38" s="17">
        <v>6.5</v>
      </c>
      <c r="AH38" s="17">
        <v>6.3</v>
      </c>
      <c r="AI38" s="17">
        <v>6.1</v>
      </c>
      <c r="AJ38" s="17">
        <v>5.9</v>
      </c>
      <c r="AK38" s="17">
        <v>5.8</v>
      </c>
      <c r="AL38" s="17">
        <v>5.6</v>
      </c>
      <c r="AM38" s="17">
        <v>5.4</v>
      </c>
      <c r="AN38" s="17">
        <v>5.3</v>
      </c>
      <c r="AO38" s="17">
        <v>5.0999999999999996</v>
      </c>
      <c r="AP38" s="17">
        <v>5</v>
      </c>
      <c r="AQ38" s="17">
        <v>4.9000000000000004</v>
      </c>
      <c r="AR38" s="17">
        <v>4.7</v>
      </c>
      <c r="AS38" s="17">
        <v>4.5999999999999996</v>
      </c>
      <c r="AT38" s="17">
        <v>4.5</v>
      </c>
      <c r="AU38" s="17">
        <v>4.4000000000000004</v>
      </c>
      <c r="AV38" s="17">
        <v>4.3</v>
      </c>
      <c r="AW38" s="17">
        <v>4.2</v>
      </c>
      <c r="AX38" s="17">
        <v>4.0999999999999996</v>
      </c>
      <c r="AY38" s="18">
        <v>4</v>
      </c>
    </row>
    <row r="39" spans="1:51" x14ac:dyDescent="0.25">
      <c r="A39" s="13">
        <v>32</v>
      </c>
      <c r="B39" s="14">
        <f ca="1">GENERADOR!S8</f>
        <v>1.8</v>
      </c>
      <c r="E39" s="15">
        <v>31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>
        <v>7</v>
      </c>
      <c r="AG39" s="17">
        <v>6.8</v>
      </c>
      <c r="AH39" s="17">
        <v>6.5</v>
      </c>
      <c r="AI39" s="17">
        <v>6.3</v>
      </c>
      <c r="AJ39" s="17">
        <v>6.1</v>
      </c>
      <c r="AK39" s="17">
        <v>6</v>
      </c>
      <c r="AL39" s="17">
        <v>5.8</v>
      </c>
      <c r="AM39" s="17">
        <v>5.6</v>
      </c>
      <c r="AN39" s="17">
        <v>5.5</v>
      </c>
      <c r="AO39" s="17">
        <v>5.3</v>
      </c>
      <c r="AP39" s="17">
        <v>5.2</v>
      </c>
      <c r="AQ39" s="17">
        <v>5</v>
      </c>
      <c r="AR39" s="17">
        <v>4.9000000000000004</v>
      </c>
      <c r="AS39" s="17">
        <v>4.8</v>
      </c>
      <c r="AT39" s="17">
        <v>4.7</v>
      </c>
      <c r="AU39" s="17">
        <v>4.5999999999999996</v>
      </c>
      <c r="AV39" s="17">
        <v>4.4000000000000004</v>
      </c>
      <c r="AW39" s="17">
        <v>4.3</v>
      </c>
      <c r="AX39" s="17">
        <v>4.2</v>
      </c>
      <c r="AY39" s="18">
        <v>4.2</v>
      </c>
    </row>
    <row r="40" spans="1:51" x14ac:dyDescent="0.25">
      <c r="A40" s="13">
        <v>33</v>
      </c>
      <c r="B40" s="14">
        <f ca="1">GENERADOR!S9</f>
        <v>1.8</v>
      </c>
      <c r="E40" s="15">
        <v>32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>
        <v>7</v>
      </c>
      <c r="AH40" s="17">
        <v>6.8</v>
      </c>
      <c r="AI40" s="17">
        <v>6.6</v>
      </c>
      <c r="AJ40" s="17">
        <v>6.4</v>
      </c>
      <c r="AK40" s="17">
        <v>6.2</v>
      </c>
      <c r="AL40" s="17">
        <v>6</v>
      </c>
      <c r="AM40" s="17">
        <v>5.8</v>
      </c>
      <c r="AN40" s="17">
        <v>5.7</v>
      </c>
      <c r="AO40" s="17">
        <v>5.5</v>
      </c>
      <c r="AP40" s="17">
        <v>5.4</v>
      </c>
      <c r="AQ40" s="17">
        <v>5.2</v>
      </c>
      <c r="AR40" s="17">
        <v>5.0999999999999996</v>
      </c>
      <c r="AS40" s="17">
        <v>5</v>
      </c>
      <c r="AT40" s="17">
        <v>4.8</v>
      </c>
      <c r="AU40" s="17">
        <v>4.7</v>
      </c>
      <c r="AV40" s="17">
        <v>4.5999999999999996</v>
      </c>
      <c r="AW40" s="17">
        <v>4.5</v>
      </c>
      <c r="AX40" s="17">
        <v>4.4000000000000004</v>
      </c>
      <c r="AY40" s="18">
        <v>4.3</v>
      </c>
    </row>
    <row r="41" spans="1:51" x14ac:dyDescent="0.25">
      <c r="A41" s="13">
        <v>34</v>
      </c>
      <c r="B41" s="14">
        <f ca="1">GENERADOR!S10</f>
        <v>1.9</v>
      </c>
      <c r="E41" s="15">
        <v>33</v>
      </c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>
        <v>7</v>
      </c>
      <c r="AI41" s="17">
        <v>6.8</v>
      </c>
      <c r="AJ41" s="17">
        <v>6.6</v>
      </c>
      <c r="AK41" s="17">
        <v>6.4</v>
      </c>
      <c r="AL41" s="17">
        <v>6.2</v>
      </c>
      <c r="AM41" s="17">
        <v>6</v>
      </c>
      <c r="AN41" s="17">
        <v>5.8</v>
      </c>
      <c r="AO41" s="17">
        <v>5.7</v>
      </c>
      <c r="AP41" s="17">
        <v>5.5</v>
      </c>
      <c r="AQ41" s="17">
        <v>5.4</v>
      </c>
      <c r="AR41" s="17">
        <v>5.3</v>
      </c>
      <c r="AS41" s="17">
        <v>5.0999999999999996</v>
      </c>
      <c r="AT41" s="17">
        <v>5</v>
      </c>
      <c r="AU41" s="17">
        <v>4.9000000000000004</v>
      </c>
      <c r="AV41" s="17">
        <v>4.8</v>
      </c>
      <c r="AW41" s="17">
        <v>4.7</v>
      </c>
      <c r="AX41" s="17">
        <v>4.5999999999999996</v>
      </c>
      <c r="AY41" s="18">
        <v>4.5</v>
      </c>
    </row>
    <row r="42" spans="1:51" x14ac:dyDescent="0.25">
      <c r="A42" s="13">
        <v>35</v>
      </c>
      <c r="B42" s="14">
        <f ca="1">GENERADOR!S11</f>
        <v>1.9</v>
      </c>
      <c r="E42" s="15">
        <v>34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>
        <v>7</v>
      </c>
      <c r="AJ42" s="17">
        <v>6.8</v>
      </c>
      <c r="AK42" s="17">
        <v>6.6</v>
      </c>
      <c r="AL42" s="17">
        <v>6.4</v>
      </c>
      <c r="AM42" s="17">
        <v>6.2</v>
      </c>
      <c r="AN42" s="17">
        <v>6</v>
      </c>
      <c r="AO42" s="17">
        <v>5.9</v>
      </c>
      <c r="AP42" s="17">
        <v>5.7</v>
      </c>
      <c r="AQ42" s="17">
        <v>5.6</v>
      </c>
      <c r="AR42" s="17">
        <v>5.4</v>
      </c>
      <c r="AS42" s="17">
        <v>5.3</v>
      </c>
      <c r="AT42" s="17">
        <v>5.2</v>
      </c>
      <c r="AU42" s="17">
        <v>5</v>
      </c>
      <c r="AV42" s="17">
        <v>4.9000000000000004</v>
      </c>
      <c r="AW42" s="17">
        <v>4.8</v>
      </c>
      <c r="AX42" s="17">
        <v>4.7</v>
      </c>
      <c r="AY42" s="18">
        <v>4.5999999999999996</v>
      </c>
    </row>
    <row r="43" spans="1:51" x14ac:dyDescent="0.25">
      <c r="A43" s="13">
        <v>36</v>
      </c>
      <c r="B43" s="14">
        <f ca="1">GENERADOR!S12</f>
        <v>1.9</v>
      </c>
      <c r="E43" s="15">
        <v>35</v>
      </c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>
        <v>7</v>
      </c>
      <c r="AK43" s="17">
        <v>6.8</v>
      </c>
      <c r="AL43" s="17">
        <v>6.6</v>
      </c>
      <c r="AM43" s="17">
        <v>6.4</v>
      </c>
      <c r="AN43" s="17">
        <v>6.2</v>
      </c>
      <c r="AO43" s="17">
        <v>6.1</v>
      </c>
      <c r="AP43" s="17">
        <v>5.9</v>
      </c>
      <c r="AQ43" s="17">
        <v>5.8</v>
      </c>
      <c r="AR43" s="17">
        <v>5.6</v>
      </c>
      <c r="AS43" s="17">
        <v>5.5</v>
      </c>
      <c r="AT43" s="17">
        <v>5.3</v>
      </c>
      <c r="AU43" s="17">
        <v>5.2</v>
      </c>
      <c r="AV43" s="17">
        <v>5.0999999999999996</v>
      </c>
      <c r="AW43" s="17">
        <v>5</v>
      </c>
      <c r="AX43" s="17">
        <v>4.9000000000000004</v>
      </c>
      <c r="AY43" s="18">
        <v>4.8</v>
      </c>
    </row>
    <row r="44" spans="1:51" x14ac:dyDescent="0.25">
      <c r="A44" s="13">
        <v>37</v>
      </c>
      <c r="B44" s="14">
        <f ca="1">GENERADOR!S13</f>
        <v>1.9</v>
      </c>
      <c r="E44" s="15">
        <v>36</v>
      </c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>
        <v>7</v>
      </c>
      <c r="AL44" s="17">
        <v>6.8</v>
      </c>
      <c r="AM44" s="17">
        <v>6.6</v>
      </c>
      <c r="AN44" s="17">
        <v>6.4</v>
      </c>
      <c r="AO44" s="17">
        <v>6.3</v>
      </c>
      <c r="AP44" s="17">
        <v>6.1</v>
      </c>
      <c r="AQ44" s="17">
        <v>5.9</v>
      </c>
      <c r="AR44" s="17">
        <v>5.8</v>
      </c>
      <c r="AS44" s="17">
        <v>5.6</v>
      </c>
      <c r="AT44" s="17">
        <v>5.5</v>
      </c>
      <c r="AU44" s="17">
        <v>5.4</v>
      </c>
      <c r="AV44" s="17">
        <v>5.2</v>
      </c>
      <c r="AW44" s="17">
        <v>5.0999999999999996</v>
      </c>
      <c r="AX44" s="17">
        <v>5</v>
      </c>
      <c r="AY44" s="18">
        <v>4.9000000000000004</v>
      </c>
    </row>
    <row r="45" spans="1:51" x14ac:dyDescent="0.25">
      <c r="A45" s="13">
        <v>38</v>
      </c>
      <c r="B45" s="14">
        <f ca="1">GENERADOR!S14</f>
        <v>2</v>
      </c>
      <c r="E45" s="15">
        <v>37</v>
      </c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>
        <v>7</v>
      </c>
      <c r="AM45" s="17">
        <v>6.8</v>
      </c>
      <c r="AN45" s="17">
        <v>6.6</v>
      </c>
      <c r="AO45" s="17">
        <v>6.4</v>
      </c>
      <c r="AP45" s="17">
        <v>6.3</v>
      </c>
      <c r="AQ45" s="17">
        <v>6.1</v>
      </c>
      <c r="AR45" s="17">
        <v>6</v>
      </c>
      <c r="AS45" s="17">
        <v>5.8</v>
      </c>
      <c r="AT45" s="17">
        <v>5.7</v>
      </c>
      <c r="AU45" s="17">
        <v>5.5</v>
      </c>
      <c r="AV45" s="17">
        <v>5.4</v>
      </c>
      <c r="AW45" s="17">
        <v>5.3</v>
      </c>
      <c r="AX45" s="17">
        <v>5.2</v>
      </c>
      <c r="AY45" s="18">
        <v>5.0999999999999996</v>
      </c>
    </row>
    <row r="46" spans="1:51" x14ac:dyDescent="0.25">
      <c r="A46" s="13">
        <v>39</v>
      </c>
      <c r="B46" s="14">
        <f ca="1">GENERADOR!S15</f>
        <v>2</v>
      </c>
      <c r="E46" s="15">
        <v>38</v>
      </c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>
        <v>7</v>
      </c>
      <c r="AN46" s="17">
        <v>6.8</v>
      </c>
      <c r="AO46" s="17">
        <v>6.6</v>
      </c>
      <c r="AP46" s="17">
        <v>6.5</v>
      </c>
      <c r="AQ46" s="17">
        <v>6.3</v>
      </c>
      <c r="AR46" s="17">
        <v>6.1</v>
      </c>
      <c r="AS46" s="17">
        <v>6</v>
      </c>
      <c r="AT46" s="17">
        <v>5.8</v>
      </c>
      <c r="AU46" s="17">
        <v>5.7</v>
      </c>
      <c r="AV46" s="17">
        <v>5.6</v>
      </c>
      <c r="AW46" s="17">
        <v>5.4</v>
      </c>
      <c r="AX46" s="17">
        <v>5.3</v>
      </c>
      <c r="AY46" s="18">
        <v>5.2</v>
      </c>
    </row>
    <row r="47" spans="1:51" x14ac:dyDescent="0.25">
      <c r="A47" s="13">
        <v>40</v>
      </c>
      <c r="B47" s="14">
        <f ca="1">GENERADOR!V6</f>
        <v>2</v>
      </c>
      <c r="E47" s="15">
        <v>39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>
        <v>7</v>
      </c>
      <c r="AO47" s="17">
        <v>6.8</v>
      </c>
      <c r="AP47" s="17">
        <v>6.6</v>
      </c>
      <c r="AQ47" s="17">
        <v>6.5</v>
      </c>
      <c r="AR47" s="17">
        <v>6.3</v>
      </c>
      <c r="AS47" s="17">
        <v>6.1</v>
      </c>
      <c r="AT47" s="17">
        <v>6</v>
      </c>
      <c r="AU47" s="17">
        <v>5.9</v>
      </c>
      <c r="AV47" s="17">
        <v>5.7</v>
      </c>
      <c r="AW47" s="17">
        <v>5.6</v>
      </c>
      <c r="AX47" s="17">
        <v>5.5</v>
      </c>
      <c r="AY47" s="18">
        <v>5.4</v>
      </c>
    </row>
    <row r="48" spans="1:51" x14ac:dyDescent="0.25">
      <c r="A48" s="13">
        <v>41</v>
      </c>
      <c r="B48" s="14">
        <f ca="1">GENERADOR!V7</f>
        <v>2</v>
      </c>
      <c r="E48" s="15">
        <v>40</v>
      </c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>
        <v>7</v>
      </c>
      <c r="AP48" s="17">
        <v>6.8</v>
      </c>
      <c r="AQ48" s="17">
        <v>6.6</v>
      </c>
      <c r="AR48" s="17">
        <v>6.5</v>
      </c>
      <c r="AS48" s="17">
        <v>6.3</v>
      </c>
      <c r="AT48" s="17">
        <v>6.2</v>
      </c>
      <c r="AU48" s="17">
        <v>6</v>
      </c>
      <c r="AV48" s="17">
        <v>5.9</v>
      </c>
      <c r="AW48" s="17">
        <v>5.8</v>
      </c>
      <c r="AX48" s="17">
        <v>5.6</v>
      </c>
      <c r="AY48" s="18">
        <v>5.5</v>
      </c>
    </row>
    <row r="49" spans="1:51" x14ac:dyDescent="0.25">
      <c r="A49" s="13">
        <v>42</v>
      </c>
      <c r="B49" s="14">
        <f ca="1">GENERADOR!V8</f>
        <v>2.1</v>
      </c>
      <c r="E49" s="15">
        <v>41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>
        <v>7</v>
      </c>
      <c r="AQ49" s="17">
        <v>6.8</v>
      </c>
      <c r="AR49" s="17">
        <v>6.7</v>
      </c>
      <c r="AS49" s="17">
        <v>6.5</v>
      </c>
      <c r="AT49" s="17">
        <v>6.3</v>
      </c>
      <c r="AU49" s="17">
        <v>6.2</v>
      </c>
      <c r="AV49" s="17">
        <v>6</v>
      </c>
      <c r="AW49" s="17">
        <v>5.9</v>
      </c>
      <c r="AX49" s="17">
        <v>5.8</v>
      </c>
      <c r="AY49" s="18">
        <v>5.7</v>
      </c>
    </row>
    <row r="50" spans="1:51" x14ac:dyDescent="0.25">
      <c r="A50" s="13">
        <v>43</v>
      </c>
      <c r="B50" s="14">
        <f ca="1">GENERADOR!V9</f>
        <v>2.1</v>
      </c>
      <c r="E50" s="15">
        <v>42</v>
      </c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>
        <v>7</v>
      </c>
      <c r="AR50" s="17">
        <v>6.8</v>
      </c>
      <c r="AS50" s="17">
        <v>6.7</v>
      </c>
      <c r="AT50" s="17">
        <v>6.5</v>
      </c>
      <c r="AU50" s="17">
        <v>6.3</v>
      </c>
      <c r="AV50" s="17">
        <v>6.2</v>
      </c>
      <c r="AW50" s="17">
        <v>6.1</v>
      </c>
      <c r="AX50" s="17">
        <v>5.9</v>
      </c>
      <c r="AY50" s="18">
        <v>5.8</v>
      </c>
    </row>
    <row r="51" spans="1:51" x14ac:dyDescent="0.25">
      <c r="A51" s="13">
        <v>44</v>
      </c>
      <c r="B51" s="14">
        <f ca="1">GENERADOR!V10</f>
        <v>2.1</v>
      </c>
      <c r="E51" s="15">
        <v>43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>
        <v>7</v>
      </c>
      <c r="AS51" s="17">
        <v>6.8</v>
      </c>
      <c r="AT51" s="17">
        <v>6.7</v>
      </c>
      <c r="AU51" s="17">
        <v>6.5</v>
      </c>
      <c r="AV51" s="17">
        <v>6.4</v>
      </c>
      <c r="AW51" s="17">
        <v>6.2</v>
      </c>
      <c r="AX51" s="17">
        <v>6.1</v>
      </c>
      <c r="AY51" s="18">
        <v>6</v>
      </c>
    </row>
    <row r="52" spans="1:51" x14ac:dyDescent="0.25">
      <c r="A52" s="13">
        <v>45</v>
      </c>
      <c r="B52" s="14">
        <f ca="1">GENERADOR!V11</f>
        <v>2.1</v>
      </c>
      <c r="E52" s="15">
        <v>44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>
        <v>7</v>
      </c>
      <c r="AT52" s="17">
        <v>6.8</v>
      </c>
      <c r="AU52" s="17">
        <v>6.7</v>
      </c>
      <c r="AV52" s="17">
        <v>6.5</v>
      </c>
      <c r="AW52" s="17">
        <v>6.4</v>
      </c>
      <c r="AX52" s="17">
        <v>6.2</v>
      </c>
      <c r="AY52" s="18">
        <v>6.1</v>
      </c>
    </row>
    <row r="53" spans="1:51" x14ac:dyDescent="0.25">
      <c r="A53" s="13">
        <v>46</v>
      </c>
      <c r="B53" s="14">
        <f ca="1">GENERADOR!V12</f>
        <v>2.2000000000000002</v>
      </c>
      <c r="E53" s="15">
        <v>45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>
        <v>7</v>
      </c>
      <c r="AU53" s="17">
        <v>6.8</v>
      </c>
      <c r="AV53" s="17">
        <v>6.7</v>
      </c>
      <c r="AW53" s="17">
        <v>6.5</v>
      </c>
      <c r="AX53" s="17">
        <v>6.4</v>
      </c>
      <c r="AY53" s="18">
        <v>6.3</v>
      </c>
    </row>
    <row r="54" spans="1:51" x14ac:dyDescent="0.25">
      <c r="A54" s="13">
        <v>47</v>
      </c>
      <c r="B54" s="14">
        <f ca="1">GENERADOR!V13</f>
        <v>2.2000000000000002</v>
      </c>
      <c r="E54" s="15">
        <v>46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>
        <v>7</v>
      </c>
      <c r="AV54" s="17">
        <v>6.8</v>
      </c>
      <c r="AW54" s="17">
        <v>6.7</v>
      </c>
      <c r="AX54" s="17">
        <v>6.5</v>
      </c>
      <c r="AY54" s="18">
        <v>6.4</v>
      </c>
    </row>
    <row r="55" spans="1:51" x14ac:dyDescent="0.25">
      <c r="A55" s="13">
        <v>48</v>
      </c>
      <c r="B55" s="14">
        <f ca="1">GENERADOR!V14</f>
        <v>2.2000000000000002</v>
      </c>
      <c r="E55" s="15">
        <v>47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>
        <v>7</v>
      </c>
      <c r="AW55" s="17">
        <v>6.8</v>
      </c>
      <c r="AX55" s="17">
        <v>6.7</v>
      </c>
      <c r="AY55" s="18">
        <v>6.6</v>
      </c>
    </row>
    <row r="56" spans="1:51" x14ac:dyDescent="0.25">
      <c r="A56" s="13">
        <v>49</v>
      </c>
      <c r="B56" s="14">
        <f ca="1">GENERADOR!V15</f>
        <v>2.2000000000000002</v>
      </c>
      <c r="E56" s="15">
        <v>48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>
        <v>7</v>
      </c>
      <c r="AX56" s="17">
        <v>6.8</v>
      </c>
      <c r="AY56" s="18">
        <v>6.7</v>
      </c>
    </row>
    <row r="57" spans="1:51" x14ac:dyDescent="0.25">
      <c r="A57" s="13">
        <v>50</v>
      </c>
      <c r="B57" s="14">
        <f ca="1">GENERADOR!Y6</f>
        <v>2.2999999999999998</v>
      </c>
      <c r="E57" s="15">
        <v>49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>
        <v>7</v>
      </c>
      <c r="AY57" s="18">
        <v>6.9</v>
      </c>
    </row>
    <row r="58" spans="1:51" x14ac:dyDescent="0.25">
      <c r="A58" s="13">
        <v>51</v>
      </c>
      <c r="B58" s="14">
        <f ca="1">GENERADOR!Y7</f>
        <v>2.2999999999999998</v>
      </c>
      <c r="E58" s="16">
        <v>50</v>
      </c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0">
        <v>7</v>
      </c>
    </row>
    <row r="59" spans="1:51" hidden="1" x14ac:dyDescent="0.25">
      <c r="A59" s="13">
        <v>52</v>
      </c>
      <c r="B59" s="14">
        <f ca="1">GENERADOR!Y8</f>
        <v>2.2999999999999998</v>
      </c>
    </row>
    <row r="60" spans="1:51" hidden="1" x14ac:dyDescent="0.25">
      <c r="A60" s="13">
        <v>53</v>
      </c>
      <c r="B60" s="14">
        <f ca="1">GENERADOR!Y9</f>
        <v>2.2999999999999998</v>
      </c>
    </row>
    <row r="61" spans="1:51" hidden="1" x14ac:dyDescent="0.25">
      <c r="A61" s="13">
        <v>54</v>
      </c>
      <c r="B61" s="14">
        <f ca="1">GENERADOR!Y10</f>
        <v>2.4</v>
      </c>
    </row>
    <row r="62" spans="1:51" hidden="1" x14ac:dyDescent="0.25">
      <c r="A62" s="13">
        <v>55</v>
      </c>
      <c r="B62" s="14">
        <f ca="1">GENERADOR!Y11</f>
        <v>2.4</v>
      </c>
    </row>
    <row r="63" spans="1:51" hidden="1" x14ac:dyDescent="0.25">
      <c r="A63" s="13">
        <v>56</v>
      </c>
      <c r="B63" s="14">
        <f ca="1">GENERADOR!Y12</f>
        <v>2.4</v>
      </c>
    </row>
    <row r="64" spans="1:51" hidden="1" x14ac:dyDescent="0.25">
      <c r="A64" s="13">
        <v>57</v>
      </c>
      <c r="B64" s="14">
        <f ca="1">GENERADOR!Y13</f>
        <v>2.4</v>
      </c>
    </row>
    <row r="65" spans="1:2" hidden="1" x14ac:dyDescent="0.25">
      <c r="A65" s="13">
        <v>58</v>
      </c>
      <c r="B65" s="14">
        <f ca="1">GENERADOR!Y14</f>
        <v>2.5</v>
      </c>
    </row>
    <row r="66" spans="1:2" hidden="1" x14ac:dyDescent="0.25">
      <c r="A66" s="13">
        <v>59</v>
      </c>
      <c r="B66" s="14">
        <f ca="1">GENERADOR!Y15</f>
        <v>2.5</v>
      </c>
    </row>
    <row r="67" spans="1:2" hidden="1" x14ac:dyDescent="0.25">
      <c r="A67" s="13">
        <v>60</v>
      </c>
      <c r="B67" s="14">
        <f ca="1">GENERADOR!AB6</f>
        <v>2.5</v>
      </c>
    </row>
    <row r="68" spans="1:2" hidden="1" x14ac:dyDescent="0.25">
      <c r="A68" s="13">
        <v>61</v>
      </c>
      <c r="B68" s="14">
        <f ca="1">GENERADOR!AB7</f>
        <v>2.5</v>
      </c>
    </row>
    <row r="69" spans="1:2" hidden="1" x14ac:dyDescent="0.25">
      <c r="A69" s="13">
        <v>62</v>
      </c>
      <c r="B69" s="14">
        <f ca="1">GENERADOR!AB8</f>
        <v>2.6</v>
      </c>
    </row>
    <row r="70" spans="1:2" hidden="1" x14ac:dyDescent="0.25">
      <c r="A70" s="13">
        <v>63</v>
      </c>
      <c r="B70" s="14">
        <f ca="1">GENERADOR!AB9</f>
        <v>2.6</v>
      </c>
    </row>
    <row r="71" spans="1:2" hidden="1" x14ac:dyDescent="0.25">
      <c r="A71" s="13">
        <v>64</v>
      </c>
      <c r="B71" s="14">
        <f ca="1">GENERADOR!AB10</f>
        <v>2.6</v>
      </c>
    </row>
    <row r="72" spans="1:2" hidden="1" x14ac:dyDescent="0.25">
      <c r="A72" s="13">
        <v>65</v>
      </c>
      <c r="B72" s="14">
        <f ca="1">GENERADOR!AB11</f>
        <v>2.6</v>
      </c>
    </row>
    <row r="73" spans="1:2" hidden="1" x14ac:dyDescent="0.25">
      <c r="A73" s="13">
        <v>66</v>
      </c>
      <c r="B73" s="14">
        <f ca="1">GENERADOR!AB12</f>
        <v>2.7</v>
      </c>
    </row>
    <row r="74" spans="1:2" hidden="1" x14ac:dyDescent="0.25">
      <c r="A74" s="13">
        <v>67</v>
      </c>
      <c r="B74" s="14">
        <f ca="1">GENERADOR!AB13</f>
        <v>2.7</v>
      </c>
    </row>
    <row r="75" spans="1:2" hidden="1" x14ac:dyDescent="0.25">
      <c r="A75" s="13">
        <v>68</v>
      </c>
      <c r="B75" s="14">
        <f ca="1">GENERADOR!AB14</f>
        <v>2.7</v>
      </c>
    </row>
    <row r="76" spans="1:2" hidden="1" x14ac:dyDescent="0.25">
      <c r="A76" s="13">
        <v>69</v>
      </c>
      <c r="B76" s="14">
        <f ca="1">GENERADOR!AB15</f>
        <v>2.7</v>
      </c>
    </row>
    <row r="77" spans="1:2" hidden="1" x14ac:dyDescent="0.25">
      <c r="A77" s="13">
        <v>70</v>
      </c>
      <c r="B77" s="14">
        <f ca="1">GENERADOR!AE6</f>
        <v>2.8</v>
      </c>
    </row>
    <row r="78" spans="1:2" hidden="1" x14ac:dyDescent="0.25">
      <c r="A78" s="13">
        <v>71</v>
      </c>
      <c r="B78" s="14">
        <f ca="1">GENERADOR!AE7</f>
        <v>2.8</v>
      </c>
    </row>
    <row r="79" spans="1:2" hidden="1" x14ac:dyDescent="0.25">
      <c r="A79" s="13">
        <v>72</v>
      </c>
      <c r="B79" s="14">
        <f ca="1">GENERADOR!AE8</f>
        <v>2.8</v>
      </c>
    </row>
    <row r="80" spans="1:2" hidden="1" x14ac:dyDescent="0.25">
      <c r="A80" s="13">
        <v>73</v>
      </c>
      <c r="B80" s="14">
        <f ca="1">GENERADOR!AE9</f>
        <v>2.8</v>
      </c>
    </row>
    <row r="81" spans="1:2" hidden="1" x14ac:dyDescent="0.25">
      <c r="A81" s="13">
        <v>74</v>
      </c>
      <c r="B81" s="14">
        <f ca="1">GENERADOR!AE10</f>
        <v>2.9</v>
      </c>
    </row>
    <row r="82" spans="1:2" hidden="1" x14ac:dyDescent="0.25">
      <c r="A82" s="13">
        <v>75</v>
      </c>
      <c r="B82" s="14">
        <f ca="1">GENERADOR!AE11</f>
        <v>2.9</v>
      </c>
    </row>
    <row r="83" spans="1:2" hidden="1" x14ac:dyDescent="0.25">
      <c r="A83" s="13">
        <v>76</v>
      </c>
      <c r="B83" s="14">
        <f ca="1">GENERADOR!AE12</f>
        <v>2.9</v>
      </c>
    </row>
    <row r="84" spans="1:2" hidden="1" x14ac:dyDescent="0.25">
      <c r="A84" s="13">
        <v>77</v>
      </c>
      <c r="B84" s="14">
        <f ca="1">GENERADOR!AE13</f>
        <v>2.9</v>
      </c>
    </row>
    <row r="85" spans="1:2" hidden="1" x14ac:dyDescent="0.25">
      <c r="A85" s="13">
        <v>78</v>
      </c>
      <c r="B85" s="14">
        <f ca="1">GENERADOR!AE14</f>
        <v>3</v>
      </c>
    </row>
    <row r="86" spans="1:2" hidden="1" x14ac:dyDescent="0.25">
      <c r="A86" s="13">
        <v>79</v>
      </c>
      <c r="B86" s="14">
        <f ca="1">GENERADOR!AE15</f>
        <v>3</v>
      </c>
    </row>
    <row r="87" spans="1:2" hidden="1" x14ac:dyDescent="0.25">
      <c r="A87" s="13">
        <v>80</v>
      </c>
      <c r="B87" s="14">
        <f ca="1">GENERADOR!J18</f>
        <v>3</v>
      </c>
    </row>
    <row r="88" spans="1:2" hidden="1" x14ac:dyDescent="0.25">
      <c r="A88" s="13">
        <v>81</v>
      </c>
      <c r="B88" s="14">
        <f ca="1">GENERADOR!J19</f>
        <v>3</v>
      </c>
    </row>
    <row r="89" spans="1:2" hidden="1" x14ac:dyDescent="0.25">
      <c r="A89" s="13">
        <v>82</v>
      </c>
      <c r="B89" s="14">
        <f ca="1">GENERADOR!J20</f>
        <v>3.1</v>
      </c>
    </row>
    <row r="90" spans="1:2" hidden="1" x14ac:dyDescent="0.25">
      <c r="A90" s="13">
        <v>83</v>
      </c>
      <c r="B90" s="14">
        <f ca="1">GENERADOR!J21</f>
        <v>3.1</v>
      </c>
    </row>
    <row r="91" spans="1:2" hidden="1" x14ac:dyDescent="0.25">
      <c r="A91" s="13">
        <v>84</v>
      </c>
      <c r="B91" s="14">
        <f ca="1">GENERADOR!J22</f>
        <v>3.1</v>
      </c>
    </row>
    <row r="92" spans="1:2" hidden="1" x14ac:dyDescent="0.25">
      <c r="A92" s="13">
        <v>85</v>
      </c>
      <c r="B92" s="14">
        <f ca="1">GENERADOR!J23</f>
        <v>3.1</v>
      </c>
    </row>
    <row r="93" spans="1:2" hidden="1" x14ac:dyDescent="0.25">
      <c r="A93" s="13">
        <v>86</v>
      </c>
      <c r="B93" s="14">
        <f ca="1">GENERADOR!J24</f>
        <v>3.2</v>
      </c>
    </row>
    <row r="94" spans="1:2" hidden="1" x14ac:dyDescent="0.25">
      <c r="A94" s="13">
        <v>87</v>
      </c>
      <c r="B94" s="14">
        <f ca="1">GENERADOR!J25</f>
        <v>3.2</v>
      </c>
    </row>
    <row r="95" spans="1:2" hidden="1" x14ac:dyDescent="0.25">
      <c r="A95" s="13">
        <v>88</v>
      </c>
      <c r="B95" s="14">
        <f ca="1">GENERADOR!J26</f>
        <v>3.2</v>
      </c>
    </row>
    <row r="96" spans="1:2" hidden="1" x14ac:dyDescent="0.25">
      <c r="A96" s="13">
        <v>89</v>
      </c>
      <c r="B96" s="14">
        <f ca="1">GENERADOR!J27</f>
        <v>3.2</v>
      </c>
    </row>
    <row r="97" spans="1:2" hidden="1" x14ac:dyDescent="0.25">
      <c r="A97" s="13">
        <v>90</v>
      </c>
      <c r="B97" s="14">
        <f ca="1">GENERADOR!M18</f>
        <v>3.3</v>
      </c>
    </row>
    <row r="98" spans="1:2" hidden="1" x14ac:dyDescent="0.25">
      <c r="A98" s="13">
        <v>91</v>
      </c>
      <c r="B98" s="14">
        <f ca="1">GENERADOR!M19</f>
        <v>3.3</v>
      </c>
    </row>
    <row r="99" spans="1:2" hidden="1" x14ac:dyDescent="0.25">
      <c r="A99" s="13">
        <v>92</v>
      </c>
      <c r="B99" s="14">
        <f ca="1">GENERADOR!M20</f>
        <v>3.3</v>
      </c>
    </row>
    <row r="100" spans="1:2" hidden="1" x14ac:dyDescent="0.25">
      <c r="A100" s="13">
        <v>93</v>
      </c>
      <c r="B100" s="14">
        <f ca="1">GENERADOR!M21</f>
        <v>3.3</v>
      </c>
    </row>
    <row r="101" spans="1:2" hidden="1" x14ac:dyDescent="0.25">
      <c r="A101" s="13">
        <v>94</v>
      </c>
      <c r="B101" s="14">
        <f ca="1">GENERADOR!M22</f>
        <v>3.4</v>
      </c>
    </row>
    <row r="102" spans="1:2" hidden="1" x14ac:dyDescent="0.25">
      <c r="A102" s="13">
        <v>95</v>
      </c>
      <c r="B102" s="14">
        <f ca="1">GENERADOR!M23</f>
        <v>3.4</v>
      </c>
    </row>
    <row r="103" spans="1:2" hidden="1" x14ac:dyDescent="0.25">
      <c r="A103" s="13">
        <v>96</v>
      </c>
      <c r="B103" s="14">
        <f ca="1">GENERADOR!M24</f>
        <v>3.4</v>
      </c>
    </row>
    <row r="104" spans="1:2" hidden="1" x14ac:dyDescent="0.25">
      <c r="A104" s="13">
        <v>97</v>
      </c>
      <c r="B104" s="14">
        <f ca="1">GENERADOR!M25</f>
        <v>3.4</v>
      </c>
    </row>
    <row r="105" spans="1:2" hidden="1" x14ac:dyDescent="0.25">
      <c r="A105" s="13">
        <v>98</v>
      </c>
      <c r="B105" s="14">
        <f ca="1">GENERADOR!M26</f>
        <v>3.5</v>
      </c>
    </row>
    <row r="106" spans="1:2" hidden="1" x14ac:dyDescent="0.25">
      <c r="A106" s="13">
        <v>99</v>
      </c>
      <c r="B106" s="14">
        <f ca="1">GENERADOR!M27</f>
        <v>3.5</v>
      </c>
    </row>
    <row r="107" spans="1:2" hidden="1" x14ac:dyDescent="0.25">
      <c r="A107" s="13">
        <v>100</v>
      </c>
      <c r="B107" s="14">
        <f ca="1">GENERADOR!P18</f>
        <v>3.5</v>
      </c>
    </row>
  </sheetData>
  <mergeCells count="1">
    <mergeCell ref="E5:AY5"/>
  </mergeCells>
  <pageMargins left="0.25" right="0.25" top="0.75" bottom="0.75" header="0.3" footer="0.3"/>
  <pageSetup scale="55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GENERADOR</vt:lpstr>
      <vt:lpstr>TABLA 50 PUNTOS</vt:lpstr>
      <vt:lpstr>GENERADOR!Área_de_impresión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2025-01-22T02:08:22Z</dcterms:modified>
</cp:coreProperties>
</file>